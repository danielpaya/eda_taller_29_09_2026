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cuments\Universidad\Sexto_Semestre\EDA\Segundo_corte\"/>
    </mc:Choice>
  </mc:AlternateContent>
  <xr:revisionPtr revIDLastSave="0" documentId="13_ncr:1_{54487B8E-BB39-4ACC-9C91-F90A5A59DF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dicciones" sheetId="1" r:id="rId1"/>
    <sheet name="Modelo" sheetId="2" r:id="rId2"/>
  </sheets>
  <definedNames>
    <definedName name="_xlnm._FilterDatabase" localSheetId="0" hidden="1">Predicciones!$A$2:$J$402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18" i="2"/>
  <c r="C8" i="2"/>
  <c r="C7" i="2"/>
  <c r="C6" i="2"/>
  <c r="G402" i="1"/>
  <c r="H402" i="1" s="1"/>
  <c r="F402" i="1"/>
  <c r="I402" i="1" s="1"/>
  <c r="G401" i="1"/>
  <c r="H401" i="1" s="1"/>
  <c r="F401" i="1"/>
  <c r="I401" i="1" s="1"/>
  <c r="G400" i="1"/>
  <c r="H400" i="1" s="1"/>
  <c r="F400" i="1"/>
  <c r="I400" i="1" s="1"/>
  <c r="G399" i="1"/>
  <c r="H399" i="1" s="1"/>
  <c r="F399" i="1"/>
  <c r="I399" i="1" s="1"/>
  <c r="G398" i="1"/>
  <c r="H398" i="1" s="1"/>
  <c r="F398" i="1"/>
  <c r="I398" i="1" s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H328" i="1" s="1"/>
  <c r="F328" i="1"/>
  <c r="I328" i="1" s="1"/>
  <c r="G327" i="1"/>
  <c r="H327" i="1" s="1"/>
  <c r="F327" i="1"/>
  <c r="I327" i="1" s="1"/>
  <c r="G326" i="1"/>
  <c r="H326" i="1" s="1"/>
  <c r="F326" i="1"/>
  <c r="I326" i="1" s="1"/>
  <c r="G325" i="1"/>
  <c r="H325" i="1" s="1"/>
  <c r="F325" i="1"/>
  <c r="I325" i="1" s="1"/>
  <c r="G324" i="1"/>
  <c r="H324" i="1" s="1"/>
  <c r="F324" i="1"/>
  <c r="I324" i="1" s="1"/>
  <c r="G323" i="1"/>
  <c r="H323" i="1" s="1"/>
  <c r="F323" i="1"/>
  <c r="I323" i="1" s="1"/>
  <c r="G322" i="1"/>
  <c r="H322" i="1" s="1"/>
  <c r="F322" i="1"/>
  <c r="I322" i="1" s="1"/>
  <c r="G321" i="1"/>
  <c r="H321" i="1" s="1"/>
  <c r="F321" i="1"/>
  <c r="I321" i="1" s="1"/>
  <c r="G320" i="1"/>
  <c r="H320" i="1" s="1"/>
  <c r="F320" i="1"/>
  <c r="I320" i="1" s="1"/>
  <c r="G319" i="1"/>
  <c r="H319" i="1" s="1"/>
  <c r="F319" i="1"/>
  <c r="I319" i="1" s="1"/>
  <c r="G318" i="1"/>
  <c r="H318" i="1" s="1"/>
  <c r="F318" i="1"/>
  <c r="I318" i="1" s="1"/>
  <c r="G317" i="1"/>
  <c r="H317" i="1" s="1"/>
  <c r="F317" i="1"/>
  <c r="I317" i="1" s="1"/>
  <c r="G316" i="1"/>
  <c r="H316" i="1" s="1"/>
  <c r="F316" i="1"/>
  <c r="I316" i="1" s="1"/>
  <c r="G315" i="1"/>
  <c r="H315" i="1" s="1"/>
  <c r="F315" i="1"/>
  <c r="I315" i="1" s="1"/>
  <c r="G314" i="1"/>
  <c r="H314" i="1" s="1"/>
  <c r="F314" i="1"/>
  <c r="I314" i="1" s="1"/>
  <c r="G313" i="1"/>
  <c r="H313" i="1" s="1"/>
  <c r="F313" i="1"/>
  <c r="I313" i="1" s="1"/>
  <c r="G312" i="1"/>
  <c r="H312" i="1" s="1"/>
  <c r="F312" i="1"/>
  <c r="I312" i="1" s="1"/>
  <c r="G311" i="1"/>
  <c r="H311" i="1" s="1"/>
  <c r="F311" i="1"/>
  <c r="I311" i="1" s="1"/>
  <c r="G310" i="1"/>
  <c r="H310" i="1" s="1"/>
  <c r="F310" i="1"/>
  <c r="I310" i="1" s="1"/>
  <c r="G309" i="1"/>
  <c r="H309" i="1" s="1"/>
  <c r="F309" i="1"/>
  <c r="I309" i="1" s="1"/>
  <c r="G308" i="1"/>
  <c r="H308" i="1" s="1"/>
  <c r="F308" i="1"/>
  <c r="I308" i="1" s="1"/>
  <c r="G307" i="1"/>
  <c r="H307" i="1" s="1"/>
  <c r="F307" i="1"/>
  <c r="I307" i="1" s="1"/>
  <c r="G306" i="1"/>
  <c r="H306" i="1" s="1"/>
  <c r="F306" i="1"/>
  <c r="I306" i="1" s="1"/>
  <c r="G305" i="1"/>
  <c r="H305" i="1" s="1"/>
  <c r="F305" i="1"/>
  <c r="I305" i="1" s="1"/>
  <c r="G304" i="1"/>
  <c r="H304" i="1" s="1"/>
  <c r="F304" i="1"/>
  <c r="I304" i="1" s="1"/>
  <c r="G303" i="1"/>
  <c r="H303" i="1" s="1"/>
  <c r="F303" i="1"/>
  <c r="I303" i="1" s="1"/>
  <c r="G302" i="1"/>
  <c r="H302" i="1" s="1"/>
  <c r="F302" i="1"/>
  <c r="I302" i="1" s="1"/>
  <c r="G301" i="1"/>
  <c r="H301" i="1" s="1"/>
  <c r="F301" i="1"/>
  <c r="I301" i="1" s="1"/>
  <c r="G300" i="1"/>
  <c r="H300" i="1" s="1"/>
  <c r="F300" i="1"/>
  <c r="I300" i="1" s="1"/>
  <c r="G299" i="1"/>
  <c r="H299" i="1" s="1"/>
  <c r="F299" i="1"/>
  <c r="I299" i="1" s="1"/>
  <c r="G298" i="1"/>
  <c r="H298" i="1" s="1"/>
  <c r="F298" i="1"/>
  <c r="I298" i="1" s="1"/>
  <c r="G297" i="1"/>
  <c r="H297" i="1" s="1"/>
  <c r="F297" i="1"/>
  <c r="I297" i="1" s="1"/>
  <c r="G296" i="1"/>
  <c r="H296" i="1" s="1"/>
  <c r="F296" i="1"/>
  <c r="I296" i="1" s="1"/>
  <c r="G295" i="1"/>
  <c r="H295" i="1" s="1"/>
  <c r="F295" i="1"/>
  <c r="I295" i="1" s="1"/>
  <c r="G294" i="1"/>
  <c r="H294" i="1" s="1"/>
  <c r="F294" i="1"/>
  <c r="I294" i="1" s="1"/>
  <c r="G293" i="1"/>
  <c r="H293" i="1" s="1"/>
  <c r="F293" i="1"/>
  <c r="I293" i="1" s="1"/>
  <c r="G292" i="1"/>
  <c r="H292" i="1" s="1"/>
  <c r="F292" i="1"/>
  <c r="I292" i="1" s="1"/>
  <c r="G291" i="1"/>
  <c r="H291" i="1" s="1"/>
  <c r="F291" i="1"/>
  <c r="I291" i="1" s="1"/>
  <c r="G290" i="1"/>
  <c r="H290" i="1" s="1"/>
  <c r="F290" i="1"/>
  <c r="I290" i="1" s="1"/>
  <c r="G289" i="1"/>
  <c r="H289" i="1" s="1"/>
  <c r="F289" i="1"/>
  <c r="I289" i="1" s="1"/>
  <c r="G288" i="1"/>
  <c r="H288" i="1" s="1"/>
  <c r="F288" i="1"/>
  <c r="I288" i="1" s="1"/>
  <c r="G287" i="1"/>
  <c r="H287" i="1" s="1"/>
  <c r="F287" i="1"/>
  <c r="I287" i="1" s="1"/>
  <c r="G286" i="1"/>
  <c r="H286" i="1" s="1"/>
  <c r="F286" i="1"/>
  <c r="I286" i="1" s="1"/>
  <c r="G285" i="1"/>
  <c r="G284" i="1"/>
  <c r="H284" i="1" s="1"/>
  <c r="F284" i="1"/>
  <c r="I284" i="1" s="1"/>
  <c r="G283" i="1"/>
  <c r="H283" i="1" s="1"/>
  <c r="F283" i="1"/>
  <c r="I283" i="1" s="1"/>
  <c r="G282" i="1"/>
  <c r="H282" i="1" s="1"/>
  <c r="F282" i="1"/>
  <c r="I282" i="1" s="1"/>
  <c r="G281" i="1"/>
  <c r="H281" i="1" s="1"/>
  <c r="F281" i="1"/>
  <c r="I281" i="1" s="1"/>
  <c r="G280" i="1"/>
  <c r="H280" i="1" s="1"/>
  <c r="F280" i="1"/>
  <c r="I280" i="1" s="1"/>
  <c r="G279" i="1"/>
  <c r="H279" i="1" s="1"/>
  <c r="F279" i="1"/>
  <c r="I279" i="1" s="1"/>
  <c r="G278" i="1"/>
  <c r="H278" i="1" s="1"/>
  <c r="F278" i="1"/>
  <c r="I278" i="1" s="1"/>
  <c r="G277" i="1"/>
  <c r="H277" i="1" s="1"/>
  <c r="F277" i="1"/>
  <c r="I277" i="1" s="1"/>
  <c r="G276" i="1"/>
  <c r="H276" i="1" s="1"/>
  <c r="F276" i="1"/>
  <c r="I276" i="1" s="1"/>
  <c r="G275" i="1"/>
  <c r="H275" i="1" s="1"/>
  <c r="F275" i="1"/>
  <c r="I275" i="1" s="1"/>
  <c r="G274" i="1"/>
  <c r="H274" i="1" s="1"/>
  <c r="F274" i="1"/>
  <c r="I274" i="1" s="1"/>
  <c r="G273" i="1"/>
  <c r="H273" i="1" s="1"/>
  <c r="F273" i="1"/>
  <c r="I273" i="1" s="1"/>
  <c r="G272" i="1"/>
  <c r="H272" i="1" s="1"/>
  <c r="F272" i="1"/>
  <c r="I272" i="1" s="1"/>
  <c r="G271" i="1"/>
  <c r="H271" i="1" s="1"/>
  <c r="F271" i="1"/>
  <c r="I271" i="1" s="1"/>
  <c r="G270" i="1"/>
  <c r="H270" i="1" s="1"/>
  <c r="F270" i="1"/>
  <c r="I270" i="1" s="1"/>
  <c r="G269" i="1"/>
  <c r="H269" i="1" s="1"/>
  <c r="F269" i="1"/>
  <c r="I269" i="1" s="1"/>
  <c r="G268" i="1"/>
  <c r="H268" i="1" s="1"/>
  <c r="F268" i="1"/>
  <c r="I268" i="1" s="1"/>
  <c r="G267" i="1"/>
  <c r="H267" i="1" s="1"/>
  <c r="F267" i="1"/>
  <c r="I267" i="1" s="1"/>
  <c r="G266" i="1"/>
  <c r="H266" i="1" s="1"/>
  <c r="F266" i="1"/>
  <c r="I266" i="1" s="1"/>
  <c r="G265" i="1"/>
  <c r="H265" i="1" s="1"/>
  <c r="F265" i="1"/>
  <c r="I265" i="1" s="1"/>
  <c r="G264" i="1"/>
  <c r="H264" i="1" s="1"/>
  <c r="F264" i="1"/>
  <c r="I264" i="1" s="1"/>
  <c r="G263" i="1"/>
  <c r="H263" i="1" s="1"/>
  <c r="F263" i="1"/>
  <c r="I263" i="1" s="1"/>
  <c r="G262" i="1"/>
  <c r="H262" i="1" s="1"/>
  <c r="F262" i="1"/>
  <c r="I262" i="1" s="1"/>
  <c r="G261" i="1"/>
  <c r="H261" i="1" s="1"/>
  <c r="F261" i="1"/>
  <c r="I261" i="1" s="1"/>
  <c r="G260" i="1"/>
  <c r="H260" i="1" s="1"/>
  <c r="F260" i="1"/>
  <c r="I260" i="1" s="1"/>
  <c r="G259" i="1"/>
  <c r="G258" i="1"/>
  <c r="G257" i="1"/>
  <c r="G256" i="1"/>
  <c r="H256" i="1" s="1"/>
  <c r="F256" i="1"/>
  <c r="I256" i="1" s="1"/>
  <c r="G255" i="1"/>
  <c r="G254" i="1"/>
  <c r="H254" i="1" s="1"/>
  <c r="F254" i="1"/>
  <c r="I254" i="1" s="1"/>
  <c r="G253" i="1"/>
  <c r="H253" i="1" s="1"/>
  <c r="F253" i="1"/>
  <c r="I253" i="1" s="1"/>
  <c r="G252" i="1"/>
  <c r="H252" i="1" s="1"/>
  <c r="F252" i="1"/>
  <c r="I252" i="1" s="1"/>
  <c r="G251" i="1"/>
  <c r="H251" i="1" s="1"/>
  <c r="F251" i="1"/>
  <c r="I251" i="1" s="1"/>
  <c r="G250" i="1"/>
  <c r="H250" i="1" s="1"/>
  <c r="F250" i="1"/>
  <c r="I250" i="1" s="1"/>
  <c r="G249" i="1"/>
  <c r="H249" i="1" s="1"/>
  <c r="F249" i="1"/>
  <c r="I249" i="1" s="1"/>
  <c r="G248" i="1"/>
  <c r="H248" i="1" s="1"/>
  <c r="F248" i="1"/>
  <c r="I248" i="1" s="1"/>
  <c r="G247" i="1"/>
  <c r="H247" i="1" s="1"/>
  <c r="F247" i="1"/>
  <c r="I247" i="1" s="1"/>
  <c r="G246" i="1"/>
  <c r="H246" i="1" s="1"/>
  <c r="F246" i="1"/>
  <c r="I246" i="1" s="1"/>
  <c r="G245" i="1"/>
  <c r="H245" i="1" s="1"/>
  <c r="F245" i="1"/>
  <c r="I245" i="1" s="1"/>
  <c r="G244" i="1"/>
  <c r="H244" i="1" s="1"/>
  <c r="F244" i="1"/>
  <c r="I244" i="1" s="1"/>
  <c r="G243" i="1"/>
  <c r="H243" i="1" s="1"/>
  <c r="F243" i="1"/>
  <c r="I243" i="1" s="1"/>
  <c r="G242" i="1"/>
  <c r="H242" i="1" s="1"/>
  <c r="F242" i="1"/>
  <c r="I242" i="1" s="1"/>
  <c r="G241" i="1"/>
  <c r="H241" i="1" s="1"/>
  <c r="F241" i="1"/>
  <c r="I241" i="1" s="1"/>
  <c r="G240" i="1"/>
  <c r="H240" i="1" s="1"/>
  <c r="F240" i="1"/>
  <c r="I240" i="1" s="1"/>
  <c r="G239" i="1"/>
  <c r="H239" i="1" s="1"/>
  <c r="F239" i="1"/>
  <c r="I239" i="1" s="1"/>
  <c r="G238" i="1"/>
  <c r="H238" i="1" s="1"/>
  <c r="F238" i="1"/>
  <c r="I238" i="1" s="1"/>
  <c r="G237" i="1"/>
  <c r="H237" i="1" s="1"/>
  <c r="F237" i="1"/>
  <c r="I237" i="1" s="1"/>
  <c r="G236" i="1"/>
  <c r="H236" i="1" s="1"/>
  <c r="F236" i="1"/>
  <c r="I236" i="1" s="1"/>
  <c r="G235" i="1"/>
  <c r="H235" i="1" s="1"/>
  <c r="F235" i="1"/>
  <c r="I235" i="1" s="1"/>
  <c r="G234" i="1"/>
  <c r="H234" i="1" s="1"/>
  <c r="F234" i="1"/>
  <c r="I234" i="1" s="1"/>
  <c r="G233" i="1"/>
  <c r="H233" i="1" s="1"/>
  <c r="F233" i="1"/>
  <c r="I233" i="1" s="1"/>
  <c r="G232" i="1"/>
  <c r="H232" i="1" s="1"/>
  <c r="F232" i="1"/>
  <c r="I232" i="1" s="1"/>
  <c r="G231" i="1"/>
  <c r="H231" i="1" s="1"/>
  <c r="F231" i="1"/>
  <c r="I231" i="1" s="1"/>
  <c r="G230" i="1"/>
  <c r="H230" i="1" s="1"/>
  <c r="F230" i="1"/>
  <c r="I230" i="1" s="1"/>
  <c r="G229" i="1"/>
  <c r="H229" i="1" s="1"/>
  <c r="F229" i="1"/>
  <c r="I229" i="1" s="1"/>
  <c r="G228" i="1"/>
  <c r="H228" i="1" s="1"/>
  <c r="F228" i="1"/>
  <c r="I228" i="1" s="1"/>
  <c r="G227" i="1"/>
  <c r="H227" i="1" s="1"/>
  <c r="F227" i="1"/>
  <c r="I227" i="1" s="1"/>
  <c r="G226" i="1"/>
  <c r="H226" i="1" s="1"/>
  <c r="F226" i="1"/>
  <c r="I226" i="1" s="1"/>
  <c r="G225" i="1"/>
  <c r="H225" i="1" s="1"/>
  <c r="F225" i="1"/>
  <c r="I225" i="1" s="1"/>
  <c r="G224" i="1"/>
  <c r="H224" i="1" s="1"/>
  <c r="F224" i="1"/>
  <c r="I224" i="1" s="1"/>
  <c r="G223" i="1"/>
  <c r="H223" i="1" s="1"/>
  <c r="F223" i="1"/>
  <c r="I223" i="1" s="1"/>
  <c r="G222" i="1"/>
  <c r="H222" i="1" s="1"/>
  <c r="F222" i="1"/>
  <c r="I222" i="1" s="1"/>
  <c r="G221" i="1"/>
  <c r="H221" i="1" s="1"/>
  <c r="F221" i="1"/>
  <c r="I221" i="1" s="1"/>
  <c r="G220" i="1"/>
  <c r="H220" i="1" s="1"/>
  <c r="F220" i="1"/>
  <c r="I220" i="1" s="1"/>
  <c r="G219" i="1"/>
  <c r="H219" i="1" s="1"/>
  <c r="F219" i="1"/>
  <c r="I219" i="1" s="1"/>
  <c r="G218" i="1"/>
  <c r="H218" i="1" s="1"/>
  <c r="F218" i="1"/>
  <c r="I218" i="1" s="1"/>
  <c r="G217" i="1"/>
  <c r="H217" i="1" s="1"/>
  <c r="F217" i="1"/>
  <c r="I217" i="1" s="1"/>
  <c r="G216" i="1"/>
  <c r="H216" i="1" s="1"/>
  <c r="F216" i="1"/>
  <c r="I216" i="1" s="1"/>
  <c r="G215" i="1"/>
  <c r="H215" i="1" s="1"/>
  <c r="F215" i="1"/>
  <c r="I215" i="1" s="1"/>
  <c r="G214" i="1"/>
  <c r="H214" i="1" s="1"/>
  <c r="F214" i="1"/>
  <c r="I214" i="1" s="1"/>
  <c r="G213" i="1"/>
  <c r="H213" i="1" s="1"/>
  <c r="F213" i="1"/>
  <c r="I213" i="1" s="1"/>
  <c r="G212" i="1"/>
  <c r="H212" i="1" s="1"/>
  <c r="F212" i="1"/>
  <c r="I212" i="1" s="1"/>
  <c r="G211" i="1"/>
  <c r="H211" i="1" s="1"/>
  <c r="F211" i="1"/>
  <c r="I211" i="1" s="1"/>
  <c r="G210" i="1"/>
  <c r="H210" i="1" s="1"/>
  <c r="F210" i="1"/>
  <c r="I210" i="1" s="1"/>
  <c r="G209" i="1"/>
  <c r="H209" i="1" s="1"/>
  <c r="F209" i="1"/>
  <c r="I209" i="1" s="1"/>
  <c r="G208" i="1"/>
  <c r="H208" i="1" s="1"/>
  <c r="F208" i="1"/>
  <c r="I208" i="1" s="1"/>
  <c r="G207" i="1"/>
  <c r="H207" i="1" s="1"/>
  <c r="F207" i="1"/>
  <c r="I207" i="1" s="1"/>
  <c r="G206" i="1"/>
  <c r="H206" i="1" s="1"/>
  <c r="F206" i="1"/>
  <c r="I206" i="1" s="1"/>
  <c r="G205" i="1"/>
  <c r="H205" i="1" s="1"/>
  <c r="F205" i="1"/>
  <c r="I205" i="1" s="1"/>
  <c r="G204" i="1"/>
  <c r="H204" i="1" s="1"/>
  <c r="F204" i="1"/>
  <c r="I204" i="1" s="1"/>
  <c r="G203" i="1"/>
  <c r="H203" i="1" s="1"/>
  <c r="F203" i="1"/>
  <c r="I203" i="1" s="1"/>
  <c r="G202" i="1"/>
  <c r="H202" i="1" s="1"/>
  <c r="F202" i="1"/>
  <c r="I202" i="1" s="1"/>
  <c r="G201" i="1"/>
  <c r="H201" i="1" s="1"/>
  <c r="F201" i="1"/>
  <c r="I201" i="1" s="1"/>
  <c r="G200" i="1"/>
  <c r="H200" i="1" s="1"/>
  <c r="F200" i="1"/>
  <c r="I200" i="1" s="1"/>
  <c r="G199" i="1"/>
  <c r="H199" i="1" s="1"/>
  <c r="F199" i="1"/>
  <c r="I199" i="1" s="1"/>
  <c r="G198" i="1"/>
  <c r="H198" i="1" s="1"/>
  <c r="F198" i="1"/>
  <c r="I198" i="1" s="1"/>
  <c r="G197" i="1"/>
  <c r="H197" i="1" s="1"/>
  <c r="F197" i="1"/>
  <c r="I197" i="1" s="1"/>
  <c r="G196" i="1"/>
  <c r="H196" i="1" s="1"/>
  <c r="F196" i="1"/>
  <c r="I196" i="1" s="1"/>
  <c r="G195" i="1"/>
  <c r="H195" i="1" s="1"/>
  <c r="F195" i="1"/>
  <c r="I195" i="1" s="1"/>
  <c r="G194" i="1"/>
  <c r="H194" i="1" s="1"/>
  <c r="F194" i="1"/>
  <c r="I194" i="1" s="1"/>
  <c r="G193" i="1"/>
  <c r="G192" i="1"/>
  <c r="G191" i="1"/>
  <c r="G190" i="1"/>
  <c r="H190" i="1" s="1"/>
  <c r="F190" i="1"/>
  <c r="I190" i="1" s="1"/>
  <c r="G189" i="1"/>
  <c r="G188" i="1"/>
  <c r="G187" i="1"/>
  <c r="G186" i="1"/>
  <c r="G185" i="1"/>
  <c r="G184" i="1"/>
  <c r="G183" i="1"/>
  <c r="H183" i="1" s="1"/>
  <c r="F183" i="1"/>
  <c r="I183" i="1" s="1"/>
  <c r="G182" i="1"/>
  <c r="G181" i="1"/>
  <c r="G180" i="1"/>
  <c r="G179" i="1"/>
  <c r="G178" i="1"/>
  <c r="G177" i="1"/>
  <c r="G176" i="1"/>
  <c r="G175" i="1"/>
  <c r="G174" i="1"/>
  <c r="H174" i="1" s="1"/>
  <c r="F174" i="1"/>
  <c r="I174" i="1" s="1"/>
  <c r="G173" i="1"/>
  <c r="G172" i="1"/>
  <c r="G171" i="1"/>
  <c r="G170" i="1"/>
  <c r="H170" i="1" s="1"/>
  <c r="F170" i="1"/>
  <c r="I170" i="1" s="1"/>
  <c r="G169" i="1"/>
  <c r="G168" i="1"/>
  <c r="H168" i="1" s="1"/>
  <c r="F168" i="1"/>
  <c r="I168" i="1" s="1"/>
  <c r="G167" i="1"/>
  <c r="G166" i="1"/>
  <c r="G165" i="1"/>
  <c r="G164" i="1"/>
  <c r="G163" i="1"/>
  <c r="G162" i="1"/>
  <c r="G161" i="1"/>
  <c r="H161" i="1" s="1"/>
  <c r="F161" i="1"/>
  <c r="I161" i="1" s="1"/>
  <c r="G160" i="1"/>
  <c r="G159" i="1"/>
  <c r="H159" i="1" s="1"/>
  <c r="F159" i="1"/>
  <c r="I159" i="1" s="1"/>
  <c r="G158" i="1"/>
  <c r="G157" i="1"/>
  <c r="H157" i="1" s="1"/>
  <c r="F157" i="1"/>
  <c r="I157" i="1" s="1"/>
  <c r="G156" i="1"/>
  <c r="G155" i="1"/>
  <c r="H155" i="1" s="1"/>
  <c r="F155" i="1"/>
  <c r="I155" i="1" s="1"/>
  <c r="G154" i="1"/>
  <c r="G153" i="1"/>
  <c r="G152" i="1"/>
  <c r="G151" i="1"/>
  <c r="G150" i="1"/>
  <c r="G149" i="1"/>
  <c r="G148" i="1"/>
  <c r="G147" i="1"/>
  <c r="G146" i="1"/>
  <c r="G145" i="1"/>
  <c r="G144" i="1"/>
  <c r="G143" i="1"/>
  <c r="H143" i="1" s="1"/>
  <c r="F143" i="1"/>
  <c r="I143" i="1" s="1"/>
  <c r="G142" i="1"/>
  <c r="G141" i="1"/>
  <c r="H141" i="1" s="1"/>
  <c r="F141" i="1"/>
  <c r="I141" i="1" s="1"/>
  <c r="G140" i="1"/>
  <c r="G139" i="1"/>
  <c r="H139" i="1" s="1"/>
  <c r="F139" i="1"/>
  <c r="I139" i="1" s="1"/>
  <c r="G138" i="1"/>
  <c r="G137" i="1"/>
  <c r="H137" i="1" s="1"/>
  <c r="F137" i="1"/>
  <c r="I137" i="1" s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H115" i="1" s="1"/>
  <c r="F115" i="1"/>
  <c r="I115" i="1" s="1"/>
  <c r="G114" i="1"/>
  <c r="G113" i="1"/>
  <c r="G112" i="1"/>
  <c r="G111" i="1"/>
  <c r="G110" i="1"/>
  <c r="G109" i="1"/>
  <c r="G108" i="1"/>
  <c r="G107" i="1"/>
  <c r="G106" i="1"/>
  <c r="H106" i="1" s="1"/>
  <c r="F106" i="1"/>
  <c r="I106" i="1" s="1"/>
  <c r="G105" i="1"/>
  <c r="H105" i="1" s="1"/>
  <c r="F105" i="1"/>
  <c r="I105" i="1" s="1"/>
  <c r="G104" i="1"/>
  <c r="H104" i="1" s="1"/>
  <c r="F104" i="1"/>
  <c r="I104" i="1" s="1"/>
  <c r="G103" i="1"/>
  <c r="H103" i="1" s="1"/>
  <c r="F103" i="1"/>
  <c r="I103" i="1" s="1"/>
  <c r="G102" i="1"/>
  <c r="H102" i="1" s="1"/>
  <c r="F102" i="1"/>
  <c r="I102" i="1" s="1"/>
  <c r="G101" i="1"/>
  <c r="H101" i="1" s="1"/>
  <c r="F101" i="1"/>
  <c r="I101" i="1" s="1"/>
  <c r="G100" i="1"/>
  <c r="H100" i="1" s="1"/>
  <c r="F100" i="1"/>
  <c r="I100" i="1" s="1"/>
  <c r="G99" i="1"/>
  <c r="H99" i="1" s="1"/>
  <c r="F99" i="1"/>
  <c r="I99" i="1" s="1"/>
  <c r="G98" i="1"/>
  <c r="H98" i="1" s="1"/>
  <c r="F98" i="1"/>
  <c r="I98" i="1" s="1"/>
  <c r="G97" i="1"/>
  <c r="H97" i="1" s="1"/>
  <c r="F97" i="1"/>
  <c r="I97" i="1" s="1"/>
  <c r="G96" i="1"/>
  <c r="H96" i="1" s="1"/>
  <c r="F96" i="1"/>
  <c r="I96" i="1" s="1"/>
  <c r="G95" i="1"/>
  <c r="H95" i="1" s="1"/>
  <c r="F95" i="1"/>
  <c r="I95" i="1" s="1"/>
  <c r="G94" i="1"/>
  <c r="H94" i="1" s="1"/>
  <c r="F94" i="1"/>
  <c r="I94" i="1" s="1"/>
  <c r="G93" i="1"/>
  <c r="H93" i="1" s="1"/>
  <c r="F93" i="1"/>
  <c r="I93" i="1" s="1"/>
  <c r="G92" i="1"/>
  <c r="H92" i="1" s="1"/>
  <c r="F92" i="1"/>
  <c r="I92" i="1" s="1"/>
  <c r="G91" i="1"/>
  <c r="H91" i="1" s="1"/>
  <c r="F91" i="1"/>
  <c r="I91" i="1" s="1"/>
  <c r="G90" i="1"/>
  <c r="H90" i="1" s="1"/>
  <c r="F90" i="1"/>
  <c r="I90" i="1" s="1"/>
  <c r="G89" i="1"/>
  <c r="H89" i="1" s="1"/>
  <c r="F89" i="1"/>
  <c r="I89" i="1" s="1"/>
  <c r="G88" i="1"/>
  <c r="H88" i="1" s="1"/>
  <c r="F88" i="1"/>
  <c r="I88" i="1" s="1"/>
  <c r="G87" i="1"/>
  <c r="H87" i="1" s="1"/>
  <c r="F87" i="1"/>
  <c r="I87" i="1" s="1"/>
  <c r="G86" i="1"/>
  <c r="H86" i="1" s="1"/>
  <c r="F86" i="1"/>
  <c r="I86" i="1" s="1"/>
  <c r="G85" i="1"/>
  <c r="H85" i="1" s="1"/>
  <c r="F85" i="1"/>
  <c r="I85" i="1" s="1"/>
  <c r="G84" i="1"/>
  <c r="H84" i="1" s="1"/>
  <c r="F84" i="1"/>
  <c r="I84" i="1" s="1"/>
  <c r="G83" i="1"/>
  <c r="H83" i="1" s="1"/>
  <c r="F83" i="1"/>
  <c r="I83" i="1" s="1"/>
  <c r="G82" i="1"/>
  <c r="H82" i="1" s="1"/>
  <c r="F82" i="1"/>
  <c r="I82" i="1" s="1"/>
  <c r="G81" i="1"/>
  <c r="H81" i="1" s="1"/>
  <c r="F81" i="1"/>
  <c r="I81" i="1" s="1"/>
  <c r="G80" i="1"/>
  <c r="H80" i="1" s="1"/>
  <c r="F80" i="1"/>
  <c r="I80" i="1" s="1"/>
  <c r="G79" i="1"/>
  <c r="H79" i="1" s="1"/>
  <c r="F79" i="1"/>
  <c r="I79" i="1" s="1"/>
  <c r="G78" i="1"/>
  <c r="H78" i="1" s="1"/>
  <c r="F78" i="1"/>
  <c r="I78" i="1" s="1"/>
  <c r="G77" i="1"/>
  <c r="H77" i="1" s="1"/>
  <c r="F77" i="1"/>
  <c r="I77" i="1" s="1"/>
  <c r="G76" i="1"/>
  <c r="H76" i="1" s="1"/>
  <c r="F76" i="1"/>
  <c r="I76" i="1" s="1"/>
  <c r="G75" i="1"/>
  <c r="H75" i="1" s="1"/>
  <c r="F75" i="1"/>
  <c r="I75" i="1" s="1"/>
  <c r="G74" i="1"/>
  <c r="H74" i="1" s="1"/>
  <c r="F74" i="1"/>
  <c r="I74" i="1" s="1"/>
  <c r="G73" i="1"/>
  <c r="H73" i="1" s="1"/>
  <c r="F73" i="1"/>
  <c r="I73" i="1" s="1"/>
  <c r="G72" i="1"/>
  <c r="H72" i="1" s="1"/>
  <c r="F72" i="1"/>
  <c r="I72" i="1" s="1"/>
  <c r="G71" i="1"/>
  <c r="H71" i="1" s="1"/>
  <c r="F71" i="1"/>
  <c r="I71" i="1" s="1"/>
  <c r="G70" i="1"/>
  <c r="H70" i="1" s="1"/>
  <c r="F70" i="1"/>
  <c r="I70" i="1" s="1"/>
  <c r="G69" i="1"/>
  <c r="H69" i="1" s="1"/>
  <c r="F69" i="1"/>
  <c r="I69" i="1" s="1"/>
  <c r="G68" i="1"/>
  <c r="H68" i="1" s="1"/>
  <c r="F68" i="1"/>
  <c r="I68" i="1" s="1"/>
  <c r="G67" i="1"/>
  <c r="H67" i="1" s="1"/>
  <c r="F67" i="1"/>
  <c r="I67" i="1" s="1"/>
  <c r="G66" i="1"/>
  <c r="H66" i="1" s="1"/>
  <c r="F66" i="1"/>
  <c r="I66" i="1" s="1"/>
  <c r="G65" i="1"/>
  <c r="H65" i="1" s="1"/>
  <c r="F65" i="1"/>
  <c r="I65" i="1" s="1"/>
  <c r="G64" i="1"/>
  <c r="H64" i="1" s="1"/>
  <c r="F64" i="1"/>
  <c r="I64" i="1" s="1"/>
  <c r="G63" i="1"/>
  <c r="G62" i="1"/>
  <c r="G61" i="1"/>
  <c r="G60" i="1"/>
  <c r="G59" i="1"/>
  <c r="G58" i="1"/>
  <c r="G57" i="1"/>
  <c r="G56" i="1"/>
  <c r="G55" i="1"/>
  <c r="G54" i="1"/>
  <c r="G53" i="1"/>
  <c r="H53" i="1" s="1"/>
  <c r="F53" i="1"/>
  <c r="I53" i="1" s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55" i="1" l="1"/>
  <c r="F355" i="1"/>
  <c r="I355" i="1" s="1"/>
  <c r="H354" i="1"/>
  <c r="F354" i="1"/>
  <c r="I354" i="1" s="1"/>
  <c r="H353" i="1"/>
  <c r="F353" i="1"/>
  <c r="I353" i="1" s="1"/>
  <c r="H352" i="1"/>
  <c r="F352" i="1"/>
  <c r="I352" i="1" s="1"/>
  <c r="H351" i="1"/>
  <c r="F351" i="1"/>
  <c r="I351" i="1" s="1"/>
  <c r="H350" i="1"/>
  <c r="F350" i="1"/>
  <c r="I350" i="1" s="1"/>
  <c r="H349" i="1"/>
  <c r="F349" i="1"/>
  <c r="I349" i="1" s="1"/>
  <c r="H348" i="1"/>
  <c r="F348" i="1"/>
  <c r="I348" i="1" s="1"/>
  <c r="H347" i="1"/>
  <c r="F347" i="1"/>
  <c r="I347" i="1" s="1"/>
  <c r="H346" i="1"/>
  <c r="F346" i="1"/>
  <c r="I346" i="1" s="1"/>
  <c r="H345" i="1"/>
  <c r="F345" i="1"/>
  <c r="I345" i="1" s="1"/>
  <c r="H344" i="1"/>
  <c r="F344" i="1"/>
  <c r="I344" i="1" s="1"/>
  <c r="H343" i="1"/>
  <c r="F343" i="1"/>
  <c r="I343" i="1" s="1"/>
  <c r="H342" i="1"/>
  <c r="F342" i="1"/>
  <c r="I342" i="1" s="1"/>
  <c r="H341" i="1"/>
  <c r="F341" i="1"/>
  <c r="I341" i="1" s="1"/>
  <c r="H340" i="1"/>
  <c r="F340" i="1"/>
  <c r="I340" i="1" s="1"/>
  <c r="H339" i="1"/>
  <c r="F339" i="1"/>
  <c r="I339" i="1" s="1"/>
  <c r="H338" i="1"/>
  <c r="F338" i="1"/>
  <c r="I338" i="1" s="1"/>
  <c r="H337" i="1"/>
  <c r="F337" i="1"/>
  <c r="I337" i="1" s="1"/>
  <c r="H336" i="1"/>
  <c r="F336" i="1"/>
  <c r="I336" i="1" s="1"/>
  <c r="H335" i="1"/>
  <c r="F335" i="1"/>
  <c r="I335" i="1" s="1"/>
  <c r="H334" i="1"/>
  <c r="F334" i="1"/>
  <c r="I334" i="1" s="1"/>
  <c r="H333" i="1"/>
  <c r="F333" i="1"/>
  <c r="I333" i="1" s="1"/>
  <c r="H332" i="1"/>
  <c r="F332" i="1"/>
  <c r="I332" i="1" s="1"/>
  <c r="H331" i="1"/>
  <c r="F331" i="1"/>
  <c r="I331" i="1" s="1"/>
  <c r="H330" i="1"/>
  <c r="F330" i="1"/>
  <c r="I330" i="1" s="1"/>
  <c r="H329" i="1"/>
  <c r="F329" i="1"/>
  <c r="I329" i="1" s="1"/>
  <c r="H285" i="1"/>
  <c r="F285" i="1"/>
  <c r="I285" i="1" s="1"/>
  <c r="H193" i="1"/>
  <c r="F193" i="1"/>
  <c r="I193" i="1" s="1"/>
  <c r="H192" i="1"/>
  <c r="F192" i="1"/>
  <c r="I192" i="1" s="1"/>
  <c r="H191" i="1"/>
  <c r="F191" i="1"/>
  <c r="I191" i="1" s="1"/>
  <c r="H189" i="1"/>
  <c r="F189" i="1"/>
  <c r="I189" i="1" s="1"/>
  <c r="H188" i="1"/>
  <c r="F188" i="1"/>
  <c r="I188" i="1" s="1"/>
  <c r="H187" i="1"/>
  <c r="F187" i="1"/>
  <c r="I187" i="1" s="1"/>
  <c r="H186" i="1"/>
  <c r="F186" i="1"/>
  <c r="I186" i="1" s="1"/>
  <c r="H185" i="1"/>
  <c r="F185" i="1"/>
  <c r="I185" i="1" s="1"/>
  <c r="H184" i="1"/>
  <c r="F184" i="1"/>
  <c r="I184" i="1" s="1"/>
  <c r="H182" i="1"/>
  <c r="F182" i="1"/>
  <c r="I182" i="1" s="1"/>
  <c r="H181" i="1"/>
  <c r="F181" i="1"/>
  <c r="I181" i="1" s="1"/>
  <c r="H180" i="1"/>
  <c r="F180" i="1"/>
  <c r="I180" i="1" s="1"/>
  <c r="H179" i="1"/>
  <c r="F179" i="1"/>
  <c r="I179" i="1" s="1"/>
  <c r="H178" i="1"/>
  <c r="F178" i="1"/>
  <c r="I178" i="1" s="1"/>
  <c r="H177" i="1"/>
  <c r="F177" i="1"/>
  <c r="I177" i="1" s="1"/>
  <c r="H176" i="1"/>
  <c r="F176" i="1"/>
  <c r="I176" i="1" s="1"/>
  <c r="H175" i="1"/>
  <c r="F175" i="1"/>
  <c r="I175" i="1" s="1"/>
  <c r="H173" i="1"/>
  <c r="F173" i="1"/>
  <c r="I173" i="1" s="1"/>
  <c r="H172" i="1"/>
  <c r="F172" i="1"/>
  <c r="I172" i="1" s="1"/>
  <c r="H171" i="1"/>
  <c r="F171" i="1"/>
  <c r="I171" i="1" s="1"/>
  <c r="H169" i="1"/>
  <c r="F169" i="1"/>
  <c r="I169" i="1" s="1"/>
  <c r="H167" i="1"/>
  <c r="F167" i="1"/>
  <c r="I167" i="1" s="1"/>
  <c r="H166" i="1"/>
  <c r="F166" i="1"/>
  <c r="I166" i="1" s="1"/>
  <c r="H165" i="1"/>
  <c r="F165" i="1"/>
  <c r="I165" i="1" s="1"/>
  <c r="H164" i="1"/>
  <c r="F164" i="1"/>
  <c r="I164" i="1" s="1"/>
  <c r="H163" i="1"/>
  <c r="F163" i="1"/>
  <c r="I163" i="1" s="1"/>
  <c r="H162" i="1"/>
  <c r="F162" i="1"/>
  <c r="I162" i="1" s="1"/>
  <c r="H160" i="1"/>
  <c r="F160" i="1"/>
  <c r="I160" i="1" s="1"/>
  <c r="H158" i="1"/>
  <c r="F158" i="1"/>
  <c r="I158" i="1" s="1"/>
  <c r="H156" i="1"/>
  <c r="F156" i="1"/>
  <c r="I156" i="1" s="1"/>
  <c r="H153" i="1"/>
  <c r="F153" i="1"/>
  <c r="I153" i="1" s="1"/>
  <c r="H152" i="1"/>
  <c r="F152" i="1"/>
  <c r="I152" i="1" s="1"/>
  <c r="H151" i="1"/>
  <c r="F151" i="1"/>
  <c r="I151" i="1" s="1"/>
  <c r="H150" i="1"/>
  <c r="F150" i="1"/>
  <c r="I150" i="1" s="1"/>
  <c r="H149" i="1"/>
  <c r="F149" i="1"/>
  <c r="I149" i="1" s="1"/>
  <c r="H148" i="1"/>
  <c r="F148" i="1"/>
  <c r="I148" i="1" s="1"/>
  <c r="H147" i="1"/>
  <c r="F147" i="1"/>
  <c r="I147" i="1" s="1"/>
  <c r="H146" i="1"/>
  <c r="F146" i="1"/>
  <c r="I146" i="1" s="1"/>
  <c r="H145" i="1"/>
  <c r="F145" i="1"/>
  <c r="I145" i="1" s="1"/>
  <c r="H144" i="1"/>
  <c r="F144" i="1"/>
  <c r="I144" i="1" s="1"/>
  <c r="H142" i="1"/>
  <c r="F142" i="1"/>
  <c r="I142" i="1" s="1"/>
  <c r="H140" i="1"/>
  <c r="F140" i="1"/>
  <c r="I140" i="1" s="1"/>
  <c r="H138" i="1"/>
  <c r="F138" i="1"/>
  <c r="I138" i="1" s="1"/>
  <c r="H136" i="1"/>
  <c r="F136" i="1"/>
  <c r="I136" i="1" s="1"/>
  <c r="H135" i="1"/>
  <c r="F135" i="1"/>
  <c r="I135" i="1" s="1"/>
  <c r="H134" i="1"/>
  <c r="F134" i="1"/>
  <c r="I134" i="1" s="1"/>
  <c r="H133" i="1"/>
  <c r="F133" i="1"/>
  <c r="I133" i="1" s="1"/>
  <c r="H132" i="1"/>
  <c r="F132" i="1"/>
  <c r="I132" i="1" s="1"/>
  <c r="H131" i="1"/>
  <c r="F131" i="1"/>
  <c r="I131" i="1" s="1"/>
  <c r="H130" i="1"/>
  <c r="F130" i="1"/>
  <c r="I130" i="1" s="1"/>
  <c r="H129" i="1"/>
  <c r="F129" i="1"/>
  <c r="I129" i="1" s="1"/>
  <c r="H128" i="1"/>
  <c r="F128" i="1"/>
  <c r="I128" i="1" s="1"/>
  <c r="H127" i="1"/>
  <c r="F127" i="1"/>
  <c r="I127" i="1" s="1"/>
  <c r="H126" i="1"/>
  <c r="F126" i="1"/>
  <c r="I126" i="1" s="1"/>
  <c r="H125" i="1"/>
  <c r="F125" i="1"/>
  <c r="I125" i="1" s="1"/>
  <c r="H124" i="1"/>
  <c r="F124" i="1"/>
  <c r="I124" i="1" s="1"/>
  <c r="H123" i="1"/>
  <c r="F123" i="1"/>
  <c r="I123" i="1" s="1"/>
  <c r="H122" i="1"/>
  <c r="F122" i="1"/>
  <c r="I122" i="1" s="1"/>
  <c r="H121" i="1"/>
  <c r="F121" i="1"/>
  <c r="I121" i="1" s="1"/>
  <c r="H120" i="1"/>
  <c r="F120" i="1"/>
  <c r="I120" i="1" s="1"/>
  <c r="H119" i="1"/>
  <c r="F119" i="1"/>
  <c r="I119" i="1" s="1"/>
  <c r="H118" i="1"/>
  <c r="F118" i="1"/>
  <c r="I118" i="1" s="1"/>
  <c r="H117" i="1"/>
  <c r="F117" i="1"/>
  <c r="I117" i="1" s="1"/>
  <c r="H116" i="1"/>
  <c r="F116" i="1"/>
  <c r="I116" i="1" s="1"/>
  <c r="H114" i="1"/>
  <c r="F114" i="1"/>
  <c r="I114" i="1" s="1"/>
  <c r="H113" i="1"/>
  <c r="F113" i="1"/>
  <c r="I113" i="1" s="1"/>
  <c r="H112" i="1"/>
  <c r="F112" i="1"/>
  <c r="I112" i="1" s="1"/>
  <c r="H111" i="1"/>
  <c r="F111" i="1"/>
  <c r="I111" i="1" s="1"/>
  <c r="H110" i="1"/>
  <c r="F110" i="1"/>
  <c r="I110" i="1" s="1"/>
  <c r="H109" i="1"/>
  <c r="F109" i="1"/>
  <c r="I109" i="1" s="1"/>
  <c r="H108" i="1"/>
  <c r="F108" i="1"/>
  <c r="I108" i="1" s="1"/>
  <c r="H107" i="1"/>
  <c r="F107" i="1"/>
  <c r="I107" i="1" s="1"/>
  <c r="H52" i="1"/>
  <c r="F52" i="1"/>
  <c r="I52" i="1" s="1"/>
  <c r="H51" i="1"/>
  <c r="F51" i="1"/>
  <c r="I51" i="1" s="1"/>
  <c r="H50" i="1"/>
  <c r="F50" i="1"/>
  <c r="I50" i="1" s="1"/>
  <c r="H49" i="1"/>
  <c r="F49" i="1"/>
  <c r="I49" i="1" s="1"/>
  <c r="H48" i="1"/>
  <c r="F48" i="1"/>
  <c r="I48" i="1" s="1"/>
  <c r="H47" i="1"/>
  <c r="F47" i="1"/>
  <c r="I47" i="1" s="1"/>
  <c r="H46" i="1"/>
  <c r="F46" i="1"/>
  <c r="I46" i="1" s="1"/>
  <c r="H45" i="1"/>
  <c r="F45" i="1"/>
  <c r="I45" i="1" s="1"/>
  <c r="H44" i="1"/>
  <c r="F44" i="1"/>
  <c r="I44" i="1" s="1"/>
  <c r="H43" i="1"/>
  <c r="F43" i="1"/>
  <c r="I43" i="1" s="1"/>
  <c r="H42" i="1"/>
  <c r="F42" i="1"/>
  <c r="I42" i="1" s="1"/>
  <c r="H41" i="1"/>
  <c r="F41" i="1"/>
  <c r="I41" i="1" s="1"/>
  <c r="H40" i="1"/>
  <c r="F40" i="1"/>
  <c r="I40" i="1" s="1"/>
  <c r="H39" i="1"/>
  <c r="F39" i="1"/>
  <c r="I39" i="1" s="1"/>
  <c r="H38" i="1"/>
  <c r="F38" i="1"/>
  <c r="I38" i="1" s="1"/>
  <c r="H37" i="1"/>
  <c r="F37" i="1"/>
  <c r="I37" i="1" s="1"/>
  <c r="H36" i="1"/>
  <c r="F36" i="1"/>
  <c r="I36" i="1" s="1"/>
  <c r="H35" i="1"/>
  <c r="F35" i="1"/>
  <c r="I35" i="1" s="1"/>
  <c r="H34" i="1"/>
  <c r="F34" i="1"/>
  <c r="I34" i="1" s="1"/>
  <c r="H33" i="1"/>
  <c r="F33" i="1"/>
  <c r="I33" i="1" s="1"/>
  <c r="H32" i="1"/>
  <c r="F32" i="1"/>
  <c r="I32" i="1" s="1"/>
  <c r="H31" i="1"/>
  <c r="F31" i="1"/>
  <c r="I31" i="1" s="1"/>
  <c r="H30" i="1"/>
  <c r="F30" i="1"/>
  <c r="I30" i="1" s="1"/>
  <c r="H29" i="1"/>
  <c r="F29" i="1"/>
  <c r="I29" i="1" s="1"/>
  <c r="H28" i="1"/>
  <c r="F28" i="1"/>
  <c r="I28" i="1" s="1"/>
  <c r="H27" i="1"/>
  <c r="F27" i="1"/>
  <c r="I27" i="1" s="1"/>
  <c r="H26" i="1"/>
  <c r="F26" i="1"/>
  <c r="I26" i="1" s="1"/>
  <c r="H25" i="1"/>
  <c r="F25" i="1"/>
  <c r="I25" i="1" s="1"/>
  <c r="H24" i="1"/>
  <c r="F24" i="1"/>
  <c r="I24" i="1" s="1"/>
  <c r="H23" i="1"/>
  <c r="F23" i="1"/>
  <c r="I23" i="1" s="1"/>
  <c r="H22" i="1"/>
  <c r="F22" i="1"/>
  <c r="I22" i="1" s="1"/>
  <c r="H21" i="1"/>
  <c r="F21" i="1"/>
  <c r="I21" i="1" s="1"/>
  <c r="H20" i="1"/>
  <c r="F20" i="1"/>
  <c r="I20" i="1" s="1"/>
  <c r="H19" i="1"/>
  <c r="F19" i="1"/>
  <c r="H18" i="1"/>
  <c r="F18" i="1"/>
  <c r="I18" i="1" s="1"/>
  <c r="H17" i="1"/>
  <c r="F17" i="1"/>
  <c r="I17" i="1" s="1"/>
  <c r="H16" i="1"/>
  <c r="F16" i="1"/>
  <c r="I16" i="1" s="1"/>
  <c r="H15" i="1"/>
  <c r="F15" i="1"/>
  <c r="I15" i="1" s="1"/>
  <c r="F397" i="1"/>
  <c r="I397" i="1" s="1"/>
  <c r="H397" i="1"/>
  <c r="H396" i="1"/>
  <c r="F396" i="1"/>
  <c r="I396" i="1" s="1"/>
  <c r="H395" i="1"/>
  <c r="F395" i="1"/>
  <c r="I395" i="1" s="1"/>
  <c r="F394" i="1"/>
  <c r="I394" i="1" s="1"/>
  <c r="H394" i="1"/>
  <c r="F393" i="1"/>
  <c r="I393" i="1" s="1"/>
  <c r="H393" i="1"/>
  <c r="F392" i="1"/>
  <c r="I392" i="1" s="1"/>
  <c r="H392" i="1"/>
  <c r="H391" i="1"/>
  <c r="F391" i="1"/>
  <c r="I391" i="1" s="1"/>
  <c r="F390" i="1"/>
  <c r="I390" i="1" s="1"/>
  <c r="H390" i="1"/>
  <c r="H389" i="1"/>
  <c r="F389" i="1"/>
  <c r="I389" i="1" s="1"/>
  <c r="F388" i="1"/>
  <c r="I388" i="1" s="1"/>
  <c r="H388" i="1"/>
  <c r="H387" i="1"/>
  <c r="F387" i="1"/>
  <c r="I387" i="1" s="1"/>
  <c r="F386" i="1"/>
  <c r="I386" i="1" s="1"/>
  <c r="H386" i="1"/>
  <c r="H385" i="1"/>
  <c r="F385" i="1"/>
  <c r="I385" i="1" s="1"/>
  <c r="H384" i="1"/>
  <c r="F384" i="1"/>
  <c r="I384" i="1" s="1"/>
  <c r="F383" i="1"/>
  <c r="I383" i="1" s="1"/>
  <c r="H383" i="1"/>
  <c r="H382" i="1"/>
  <c r="F382" i="1"/>
  <c r="I382" i="1" s="1"/>
  <c r="F381" i="1"/>
  <c r="I381" i="1" s="1"/>
  <c r="H381" i="1"/>
  <c r="H380" i="1"/>
  <c r="F380" i="1"/>
  <c r="I380" i="1" s="1"/>
  <c r="H379" i="1"/>
  <c r="F379" i="1"/>
  <c r="I379" i="1" s="1"/>
  <c r="F378" i="1"/>
  <c r="I378" i="1" s="1"/>
  <c r="H378" i="1"/>
  <c r="F377" i="1"/>
  <c r="I377" i="1" s="1"/>
  <c r="H377" i="1"/>
  <c r="H376" i="1"/>
  <c r="F376" i="1"/>
  <c r="I376" i="1" s="1"/>
  <c r="F375" i="1"/>
  <c r="I375" i="1" s="1"/>
  <c r="H375" i="1"/>
  <c r="H374" i="1"/>
  <c r="F374" i="1"/>
  <c r="I374" i="1" s="1"/>
  <c r="H373" i="1"/>
  <c r="F373" i="1"/>
  <c r="I373" i="1" s="1"/>
  <c r="H372" i="1"/>
  <c r="F372" i="1"/>
  <c r="I372" i="1" s="1"/>
  <c r="H371" i="1"/>
  <c r="F371" i="1"/>
  <c r="I371" i="1" s="1"/>
  <c r="F370" i="1"/>
  <c r="I370" i="1" s="1"/>
  <c r="H370" i="1"/>
  <c r="F369" i="1"/>
  <c r="I369" i="1" s="1"/>
  <c r="H369" i="1"/>
  <c r="F368" i="1"/>
  <c r="I368" i="1" s="1"/>
  <c r="H368" i="1"/>
  <c r="H367" i="1"/>
  <c r="F367" i="1"/>
  <c r="I367" i="1" s="1"/>
  <c r="F366" i="1"/>
  <c r="I366" i="1" s="1"/>
  <c r="H366" i="1"/>
  <c r="H365" i="1"/>
  <c r="F365" i="1"/>
  <c r="I365" i="1" s="1"/>
  <c r="F364" i="1"/>
  <c r="I364" i="1" s="1"/>
  <c r="H364" i="1"/>
  <c r="H363" i="1"/>
  <c r="F363" i="1"/>
  <c r="I363" i="1" s="1"/>
  <c r="H362" i="1"/>
  <c r="F362" i="1"/>
  <c r="I362" i="1" s="1"/>
  <c r="F361" i="1"/>
  <c r="I361" i="1" s="1"/>
  <c r="H361" i="1"/>
  <c r="H360" i="1"/>
  <c r="F360" i="1"/>
  <c r="I360" i="1" s="1"/>
  <c r="F359" i="1"/>
  <c r="I359" i="1" s="1"/>
  <c r="H359" i="1"/>
  <c r="F358" i="1"/>
  <c r="I358" i="1" s="1"/>
  <c r="H358" i="1"/>
  <c r="H357" i="1"/>
  <c r="F357" i="1"/>
  <c r="I357" i="1" s="1"/>
  <c r="F356" i="1"/>
  <c r="I356" i="1" s="1"/>
  <c r="H356" i="1"/>
  <c r="H259" i="1"/>
  <c r="F259" i="1"/>
  <c r="I259" i="1" s="1"/>
  <c r="H258" i="1"/>
  <c r="F258" i="1"/>
  <c r="I258" i="1" s="1"/>
  <c r="F257" i="1"/>
  <c r="I257" i="1" s="1"/>
  <c r="H257" i="1"/>
  <c r="H255" i="1"/>
  <c r="F255" i="1"/>
  <c r="I255" i="1" s="1"/>
  <c r="F154" i="1"/>
  <c r="I154" i="1" s="1"/>
  <c r="H154" i="1"/>
  <c r="H63" i="1"/>
  <c r="F63" i="1"/>
  <c r="I63" i="1" s="1"/>
  <c r="F62" i="1"/>
  <c r="I62" i="1" s="1"/>
  <c r="H62" i="1"/>
  <c r="H61" i="1"/>
  <c r="F61" i="1"/>
  <c r="I61" i="1" s="1"/>
  <c r="F60" i="1"/>
  <c r="I60" i="1" s="1"/>
  <c r="H60" i="1"/>
  <c r="H59" i="1"/>
  <c r="F59" i="1"/>
  <c r="I59" i="1" s="1"/>
  <c r="F58" i="1"/>
  <c r="I58" i="1" s="1"/>
  <c r="H58" i="1"/>
  <c r="H57" i="1"/>
  <c r="F57" i="1"/>
  <c r="I57" i="1" s="1"/>
  <c r="F56" i="1"/>
  <c r="I56" i="1" s="1"/>
  <c r="H56" i="1"/>
  <c r="H55" i="1"/>
  <c r="F55" i="1"/>
  <c r="I55" i="1" s="1"/>
  <c r="H54" i="1"/>
  <c r="F54" i="1"/>
  <c r="I54" i="1" s="1"/>
  <c r="H14" i="1"/>
  <c r="F14" i="1"/>
  <c r="I14" i="1" s="1"/>
  <c r="H13" i="1"/>
  <c r="F13" i="1"/>
  <c r="I13" i="1" s="1"/>
  <c r="F12" i="1"/>
  <c r="I12" i="1" s="1"/>
  <c r="H12" i="1"/>
  <c r="H11" i="1"/>
  <c r="F11" i="1"/>
  <c r="I11" i="1" s="1"/>
  <c r="F10" i="1"/>
  <c r="I10" i="1" s="1"/>
  <c r="H10" i="1"/>
  <c r="H9" i="1"/>
  <c r="F9" i="1"/>
  <c r="I9" i="1" s="1"/>
  <c r="H8" i="1"/>
  <c r="F8" i="1"/>
  <c r="I8" i="1" s="1"/>
  <c r="H7" i="1"/>
  <c r="F7" i="1"/>
  <c r="I7" i="1" s="1"/>
  <c r="F6" i="1"/>
  <c r="I6" i="1" s="1"/>
  <c r="H6" i="1"/>
  <c r="H5" i="1"/>
  <c r="F5" i="1"/>
  <c r="I5" i="1" s="1"/>
  <c r="H4" i="1"/>
  <c r="F4" i="1"/>
  <c r="H3" i="1"/>
  <c r="F3" i="1"/>
  <c r="I3" i="1" s="1"/>
  <c r="I19" i="1" l="1"/>
  <c r="B30" i="2"/>
  <c r="B29" i="2"/>
  <c r="I4" i="1"/>
  <c r="B27" i="2"/>
  <c r="B28" i="2"/>
  <c r="B19" i="2" l="1"/>
  <c r="B20" i="2" s="1"/>
  <c r="B23" i="2"/>
</calcChain>
</file>

<file path=xl/sharedStrings.xml><?xml version="1.0" encoding="utf-8"?>
<sst xmlns="http://schemas.openxmlformats.org/spreadsheetml/2006/main" count="864" uniqueCount="67">
  <si>
    <t>Predicciones del modelo de regresión logística — Social Network Ads</t>
  </si>
  <si>
    <t>ID</t>
  </si>
  <si>
    <t>Género</t>
  </si>
  <si>
    <t>Salario estimado</t>
  </si>
  <si>
    <t>Edad</t>
  </si>
  <si>
    <t>Compró (real)</t>
  </si>
  <si>
    <t>Predicción del modelo</t>
  </si>
  <si>
    <t>Probabilidad de compra</t>
  </si>
  <si>
    <t>Probabilidad del pronóstico</t>
  </si>
  <si>
    <t>¿Acierto?</t>
  </si>
  <si>
    <t>Conjunto</t>
  </si>
  <si>
    <t>Male</t>
  </si>
  <si>
    <t>Entrenamiento</t>
  </si>
  <si>
    <t>Prueba</t>
  </si>
  <si>
    <t>Female</t>
  </si>
  <si>
    <t>Parámetros del modelo y resumen de resultados</t>
  </si>
  <si>
    <t>Coeficientes estimados (escala log-odds)</t>
  </si>
  <si>
    <t>Término</t>
  </si>
  <si>
    <t>Valor</t>
  </si>
  <si>
    <t>Interpretación (odds ratio)</t>
  </si>
  <si>
    <t>Intercepto (β₀)</t>
  </si>
  <si>
    <t>Log-odds cuando todas las predictoras valen 0</t>
  </si>
  <si>
    <t>β Edad</t>
  </si>
  <si>
    <t>β Salario estimado</t>
  </si>
  <si>
    <t>β Género (1 = Male)</t>
  </si>
  <si>
    <t>Umbral de decisión</t>
  </si>
  <si>
    <t>Si la probabilidad ≥ umbral, se predice compra (1)</t>
  </si>
  <si>
    <t>Fórmula aplicada en la hoja Predicciones</t>
  </si>
  <si>
    <t>z = β₀ + β_Edad·Edad + β_Salario·Salario + β_Género·(1 si Male)</t>
  </si>
  <si>
    <t>Probabilidad de compra = 1 / (1 + EXP(−z))</t>
  </si>
  <si>
    <t>Resumen de aciertos</t>
  </si>
  <si>
    <t>Métrica</t>
  </si>
  <si>
    <t>Detalle</t>
  </si>
  <si>
    <t>Registros totales</t>
  </si>
  <si>
    <t>Todas las filas del dataset</t>
  </si>
  <si>
    <t>Aciertos totales</t>
  </si>
  <si>
    <t>Predicción = valor real</t>
  </si>
  <si>
    <t>Exactitud global</t>
  </si>
  <si>
    <t>Incluye filas de entrenamiento</t>
  </si>
  <si>
    <t>Filas de entrenamiento</t>
  </si>
  <si>
    <t>Usadas para estimar los coeficientes</t>
  </si>
  <si>
    <t>Filas de prueba</t>
  </si>
  <si>
    <t>No vistas por el modelo</t>
  </si>
  <si>
    <t>Exactitud en prueba</t>
  </si>
  <si>
    <t>Métrica honesta de desempeño</t>
  </si>
  <si>
    <t>Matriz de confusión sobre el conjunto de prueba</t>
  </si>
  <si>
    <t>Celda</t>
  </si>
  <si>
    <t>Casos</t>
  </si>
  <si>
    <t>Significado</t>
  </si>
  <si>
    <t>Verdaderos negativos (TN)</t>
  </si>
  <si>
    <t>No compró y se predijo que no</t>
  </si>
  <si>
    <t>Falsos positivos (FP)</t>
  </si>
  <si>
    <t>No compró pero se predijo que sí</t>
  </si>
  <si>
    <t>Falsos negativos (FN)</t>
  </si>
  <si>
    <t>Compró pero se predijo que no</t>
  </si>
  <si>
    <t>Verdaderos positivos (TP)</t>
  </si>
  <si>
    <t>Compró y se predijo que sí</t>
  </si>
  <si>
    <t>Notas y supuestos</t>
  </si>
  <si>
    <t>• Los coeficientes (celdas amarillas) provienen del modelo Logit ajustado con statsmodels</t>
  </si>
  <si>
    <t xml:space="preserve">  sobre las 320 filas de ENTRENAMIENTO, no sobre las 400.</t>
  </si>
  <si>
    <t xml:space="preserve">  Fuente: EDA_RegLog_SocialAds.ipynb, sección 6.1 (partición estratificada, random_state=42).</t>
  </si>
  <si>
    <t>• Por eso la columna "Conjunto" distingue las filas de prueba: solo esas 80 dan una medida</t>
  </si>
  <si>
    <t xml:space="preserve">  honesta del desempeño. La exactitud global es optimista porque incluye datos ya vistos.</t>
  </si>
  <si>
    <t>• "Probabilidad de compra" es P(compra = 1). "Probabilidad del pronóstico" es la confianza</t>
  </si>
  <si>
    <t xml:space="preserve">  en la clase predicha: coincide con la anterior si se predice 1, y es su complemento si es 0.</t>
  </si>
  <si>
    <t>• Las celdas amarillas son las únicas editables: al cambiar un coeficiente o el umbral,</t>
  </si>
  <si>
    <t xml:space="preserve">  las 400 filas y todo el resumen se recalculan solos.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</si>
</sst>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00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F4E79"/>
      <name val="Arial"/>
    </font>
    <font>
      <sz val="10"/>
      <color rgb="FF0000FF"/>
      <name val="Arial"/>
    </font>
    <font>
      <b/>
      <sz val="10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C72B0"/>
      </patternFill>
    </fill>
    <fill>
      <patternFill patternType="solid">
        <fgColor rgb="FFF2F6F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/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10" fontId="3" fillId="4" borderId="1" xfId="0" applyNumberFormat="1" applyFont="1" applyFill="1" applyBorder="1"/>
    <xf numFmtId="0" fontId="4" fillId="0" borderId="0" xfId="0" applyFont="1"/>
    <xf numFmtId="165" fontId="5" fillId="5" borderId="1" xfId="0" applyNumberFormat="1" applyFont="1" applyFill="1" applyBorder="1"/>
    <xf numFmtId="0" fontId="6" fillId="0" borderId="1" xfId="0" applyFont="1" applyBorder="1"/>
    <xf numFmtId="2" fontId="5" fillId="5" borderId="1" xfId="0" applyNumberFormat="1" applyFont="1" applyFill="1" applyBorder="1"/>
    <xf numFmtId="0" fontId="3" fillId="0" borderId="0" xfId="0" applyFont="1"/>
    <xf numFmtId="10" fontId="3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"/>
  <sheetViews>
    <sheetView tabSelected="1" workbookViewId="0">
      <pane ySplit="2" topLeftCell="A3" activePane="bottomLeft" state="frozen"/>
      <selection pane="bottomLeft" sqref="A1:J1"/>
    </sheetView>
  </sheetViews>
  <sheetFormatPr baseColWidth="10" defaultColWidth="9.140625" defaultRowHeight="15" x14ac:dyDescent="0.25"/>
  <cols>
    <col min="1" max="1" width="11" customWidth="1"/>
    <col min="2" max="2" width="10" customWidth="1"/>
    <col min="3" max="3" width="17" customWidth="1"/>
    <col min="4" max="4" width="8" customWidth="1"/>
    <col min="5" max="5" width="13" customWidth="1"/>
    <col min="6" max="7" width="19" customWidth="1"/>
    <col min="8" max="8" width="21" customWidth="1"/>
    <col min="9" max="9" width="11" customWidth="1"/>
    <col min="10" max="10" width="15" customWidth="1"/>
  </cols>
  <sheetData>
    <row r="1" spans="1:10" ht="24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15624510</v>
      </c>
      <c r="B3" s="3" t="s">
        <v>11</v>
      </c>
      <c r="C3" s="4">
        <v>19000</v>
      </c>
      <c r="D3" s="5">
        <v>19</v>
      </c>
      <c r="E3" s="5">
        <v>0</v>
      </c>
      <c r="F3" s="5">
        <f>IF(G3&gt;=Modelo!$B$10,1,0)</f>
        <v>0</v>
      </c>
      <c r="G3" s="6">
        <f>1/(1+EXP(-(Modelo!$B$5+Modelo!$B$6*D3+Modelo!$B$7*C3+Modelo!$B$8*IF(B3="Male",1,0))))</f>
        <v>7.4569034437219561E-4</v>
      </c>
      <c r="H3" s="6">
        <f t="shared" ref="H3:H66" si="0">MAX(G3,1-G3)</f>
        <v>0.99925430965562778</v>
      </c>
      <c r="I3" s="5" t="str">
        <f t="shared" ref="I3:I66" si="1">IF(F3=E3,"Sí","No")</f>
        <v>Sí</v>
      </c>
      <c r="J3" s="5" t="s">
        <v>12</v>
      </c>
    </row>
    <row r="4" spans="1:10" x14ac:dyDescent="0.25">
      <c r="A4" s="7">
        <v>15810944</v>
      </c>
      <c r="B4" s="8" t="s">
        <v>11</v>
      </c>
      <c r="C4" s="9">
        <v>20000</v>
      </c>
      <c r="D4" s="10">
        <v>35</v>
      </c>
      <c r="E4" s="10">
        <v>0</v>
      </c>
      <c r="F4" s="10">
        <f>IF(G4&gt;=Modelo!$B$10,1,0)</f>
        <v>0</v>
      </c>
      <c r="G4" s="11">
        <f>1/(1+EXP(-(Modelo!$B$5+Modelo!$B$6*D4+Modelo!$B$7*C4+Modelo!$B$8*IF(B4="Male",1,0))))</f>
        <v>2.8349948513995828E-2</v>
      </c>
      <c r="H4" s="11">
        <f t="shared" si="0"/>
        <v>0.97165005148600414</v>
      </c>
      <c r="I4" s="10" t="str">
        <f t="shared" si="1"/>
        <v>Sí</v>
      </c>
      <c r="J4" s="10" t="s">
        <v>13</v>
      </c>
    </row>
    <row r="5" spans="1:10" x14ac:dyDescent="0.25">
      <c r="A5" s="2">
        <v>15668575</v>
      </c>
      <c r="B5" s="3" t="s">
        <v>14</v>
      </c>
      <c r="C5" s="4">
        <v>43000</v>
      </c>
      <c r="D5" s="5">
        <v>26</v>
      </c>
      <c r="E5" s="5">
        <v>0</v>
      </c>
      <c r="F5" s="5">
        <f>IF(G5&gt;=Modelo!$B$10,1,0)</f>
        <v>0</v>
      </c>
      <c r="G5" s="6">
        <f>1/(1+EXP(-(Modelo!$B$5+Modelo!$B$6*D5+Modelo!$B$7*C5+Modelo!$B$8*IF(B5="Male",1,0))))</f>
        <v>6.9664360950132762E-3</v>
      </c>
      <c r="H5" s="6">
        <f t="shared" si="0"/>
        <v>0.99303356390498676</v>
      </c>
      <c r="I5" s="5" t="str">
        <f t="shared" si="1"/>
        <v>Sí</v>
      </c>
      <c r="J5" s="5" t="s">
        <v>12</v>
      </c>
    </row>
    <row r="6" spans="1:10" x14ac:dyDescent="0.25">
      <c r="A6" s="7">
        <v>15603246</v>
      </c>
      <c r="B6" s="8" t="s">
        <v>14</v>
      </c>
      <c r="C6" s="9">
        <v>57000</v>
      </c>
      <c r="D6" s="10">
        <v>27</v>
      </c>
      <c r="E6" s="10">
        <v>0</v>
      </c>
      <c r="F6" s="10">
        <f>IF(G6&gt;=Modelo!$B$10,1,0)</f>
        <v>0</v>
      </c>
      <c r="G6" s="11">
        <f>1/(1+EXP(-(Modelo!$B$5+Modelo!$B$6*D6+Modelo!$B$7*C6+Modelo!$B$8*IF(B6="Male",1,0))))</f>
        <v>1.5027797215119024E-2</v>
      </c>
      <c r="H6" s="11">
        <f t="shared" si="0"/>
        <v>0.98497220278488096</v>
      </c>
      <c r="I6" s="10" t="str">
        <f t="shared" si="1"/>
        <v>Sí</v>
      </c>
      <c r="J6" s="10" t="s">
        <v>12</v>
      </c>
    </row>
    <row r="7" spans="1:10" x14ac:dyDescent="0.25">
      <c r="A7" s="2">
        <v>15804002</v>
      </c>
      <c r="B7" s="3" t="s">
        <v>11</v>
      </c>
      <c r="C7" s="4">
        <v>76000</v>
      </c>
      <c r="D7" s="5">
        <v>19</v>
      </c>
      <c r="E7" s="5">
        <v>0</v>
      </c>
      <c r="F7" s="5">
        <f>IF(G7&gt;=Modelo!$B$10,1,0)</f>
        <v>0</v>
      </c>
      <c r="G7" s="6">
        <f>1/(1+EXP(-(Modelo!$B$5+Modelo!$B$6*D7+Modelo!$B$7*C7+Modelo!$B$8*IF(B7="Male",1,0))))</f>
        <v>6.9637590100051121E-3</v>
      </c>
      <c r="H7" s="6">
        <f t="shared" si="0"/>
        <v>0.99303624098999488</v>
      </c>
      <c r="I7" s="5" t="str">
        <f t="shared" si="1"/>
        <v>Sí</v>
      </c>
      <c r="J7" s="5" t="s">
        <v>12</v>
      </c>
    </row>
    <row r="8" spans="1:10" x14ac:dyDescent="0.25">
      <c r="A8" s="7">
        <v>15728773</v>
      </c>
      <c r="B8" s="8" t="s">
        <v>11</v>
      </c>
      <c r="C8" s="9">
        <v>58000</v>
      </c>
      <c r="D8" s="10">
        <v>27</v>
      </c>
      <c r="E8" s="10">
        <v>0</v>
      </c>
      <c r="F8" s="10">
        <f>IF(G8&gt;=Modelo!$B$10,1,0)</f>
        <v>0</v>
      </c>
      <c r="G8" s="11">
        <f>1/(1+EXP(-(Modelo!$B$5+Modelo!$B$6*D8+Modelo!$B$7*C8+Modelo!$B$8*IF(B8="Male",1,0))))</f>
        <v>2.0751734615152367E-2</v>
      </c>
      <c r="H8" s="11">
        <f t="shared" si="0"/>
        <v>0.97924826538484766</v>
      </c>
      <c r="I8" s="10" t="str">
        <f t="shared" si="1"/>
        <v>Sí</v>
      </c>
      <c r="J8" s="10" t="s">
        <v>12</v>
      </c>
    </row>
    <row r="9" spans="1:10" x14ac:dyDescent="0.25">
      <c r="A9" s="2">
        <v>15598044</v>
      </c>
      <c r="B9" s="3" t="s">
        <v>14</v>
      </c>
      <c r="C9" s="4">
        <v>84000</v>
      </c>
      <c r="D9" s="5">
        <v>27</v>
      </c>
      <c r="E9" s="5">
        <v>0</v>
      </c>
      <c r="F9" s="5">
        <f>IF(G9&gt;=Modelo!$B$10,1,0)</f>
        <v>0</v>
      </c>
      <c r="G9" s="6">
        <f>1/(1+EXP(-(Modelo!$B$5+Modelo!$B$6*D9+Modelo!$B$7*C9+Modelo!$B$8*IF(B9="Male",1,0))))</f>
        <v>4.2230410796282883E-2</v>
      </c>
      <c r="H9" s="6">
        <f t="shared" si="0"/>
        <v>0.95776958920371713</v>
      </c>
      <c r="I9" s="5" t="str">
        <f t="shared" si="1"/>
        <v>Sí</v>
      </c>
      <c r="J9" s="5" t="s">
        <v>12</v>
      </c>
    </row>
    <row r="10" spans="1:10" x14ac:dyDescent="0.25">
      <c r="A10" s="7">
        <v>15694829</v>
      </c>
      <c r="B10" s="8" t="s">
        <v>14</v>
      </c>
      <c r="C10" s="9">
        <v>150000</v>
      </c>
      <c r="D10" s="10">
        <v>32</v>
      </c>
      <c r="E10" s="10">
        <v>1</v>
      </c>
      <c r="F10" s="10">
        <f>IF(G10&gt;=Modelo!$B$10,1,0)</f>
        <v>1</v>
      </c>
      <c r="G10" s="11">
        <f>1/(1+EXP(-(Modelo!$B$5+Modelo!$B$6*D10+Modelo!$B$7*C10+Modelo!$B$8*IF(B10="Male",1,0))))</f>
        <v>0.64704068452345309</v>
      </c>
      <c r="H10" s="11">
        <f t="shared" si="0"/>
        <v>0.64704068452345309</v>
      </c>
      <c r="I10" s="10" t="str">
        <f t="shared" si="1"/>
        <v>Sí</v>
      </c>
      <c r="J10" s="10" t="s">
        <v>12</v>
      </c>
    </row>
    <row r="11" spans="1:10" x14ac:dyDescent="0.25">
      <c r="A11" s="2">
        <v>15600575</v>
      </c>
      <c r="B11" s="3" t="s">
        <v>11</v>
      </c>
      <c r="C11" s="4">
        <v>33000</v>
      </c>
      <c r="D11" s="5">
        <v>25</v>
      </c>
      <c r="E11" s="5">
        <v>0</v>
      </c>
      <c r="F11" s="5">
        <f>IF(G11&gt;=Modelo!$B$10,1,0)</f>
        <v>0</v>
      </c>
      <c r="G11" s="6">
        <f>1/(1+EXP(-(Modelo!$B$5+Modelo!$B$6*D11+Modelo!$B$7*C11+Modelo!$B$8*IF(B11="Male",1,0))))</f>
        <v>5.0157844510670237E-3</v>
      </c>
      <c r="H11" s="6">
        <f t="shared" si="0"/>
        <v>0.99498421554893302</v>
      </c>
      <c r="I11" s="5" t="str">
        <f t="shared" si="1"/>
        <v>Sí</v>
      </c>
      <c r="J11" s="5" t="s">
        <v>12</v>
      </c>
    </row>
    <row r="12" spans="1:10" x14ac:dyDescent="0.25">
      <c r="A12" s="7">
        <v>15727311</v>
      </c>
      <c r="B12" s="8" t="s">
        <v>14</v>
      </c>
      <c r="C12" s="9">
        <v>65000</v>
      </c>
      <c r="D12" s="10">
        <v>35</v>
      </c>
      <c r="E12" s="10">
        <v>0</v>
      </c>
      <c r="F12" s="10">
        <f>IF(G12&gt;=Modelo!$B$10,1,0)</f>
        <v>0</v>
      </c>
      <c r="G12" s="11">
        <f>1/(1+EXP(-(Modelo!$B$5+Modelo!$B$6*D12+Modelo!$B$7*C12+Modelo!$B$8*IF(B12="Male",1,0))))</f>
        <v>0.1135602491711699</v>
      </c>
      <c r="H12" s="11">
        <f t="shared" si="0"/>
        <v>0.88643975082883009</v>
      </c>
      <c r="I12" s="10" t="str">
        <f t="shared" si="1"/>
        <v>Sí</v>
      </c>
      <c r="J12" s="10" t="s">
        <v>12</v>
      </c>
    </row>
    <row r="13" spans="1:10" x14ac:dyDescent="0.25">
      <c r="A13" s="2">
        <v>15570769</v>
      </c>
      <c r="B13" s="3" t="s">
        <v>14</v>
      </c>
      <c r="C13" s="4">
        <v>80000</v>
      </c>
      <c r="D13" s="5">
        <v>26</v>
      </c>
      <c r="E13" s="5">
        <v>0</v>
      </c>
      <c r="F13" s="5">
        <f>IF(G13&gt;=Modelo!$B$10,1,0)</f>
        <v>0</v>
      </c>
      <c r="G13" s="6">
        <f>1/(1+EXP(-(Modelo!$B$5+Modelo!$B$6*D13+Modelo!$B$7*C13+Modelo!$B$8*IF(B13="Male",1,0))))</f>
        <v>2.9160056121316964E-2</v>
      </c>
      <c r="H13" s="6">
        <f t="shared" si="0"/>
        <v>0.970839943878683</v>
      </c>
      <c r="I13" s="5" t="str">
        <f t="shared" si="1"/>
        <v>Sí</v>
      </c>
      <c r="J13" s="5" t="s">
        <v>12</v>
      </c>
    </row>
    <row r="14" spans="1:10" x14ac:dyDescent="0.25">
      <c r="A14" s="7">
        <v>15606274</v>
      </c>
      <c r="B14" s="8" t="s">
        <v>14</v>
      </c>
      <c r="C14" s="9">
        <v>52000</v>
      </c>
      <c r="D14" s="10">
        <v>26</v>
      </c>
      <c r="E14" s="10">
        <v>0</v>
      </c>
      <c r="F14" s="10">
        <f>IF(G14&gt;=Modelo!$B$10,1,0)</f>
        <v>0</v>
      </c>
      <c r="G14" s="11">
        <f>1/(1+EXP(-(Modelo!$B$5+Modelo!$B$6*D14+Modelo!$B$7*C14+Modelo!$B$8*IF(B14="Male",1,0))))</f>
        <v>9.893717746028716E-3</v>
      </c>
      <c r="H14" s="11">
        <f t="shared" si="0"/>
        <v>0.99010628225397124</v>
      </c>
      <c r="I14" s="10" t="str">
        <f t="shared" si="1"/>
        <v>Sí</v>
      </c>
      <c r="J14" s="10" t="s">
        <v>12</v>
      </c>
    </row>
    <row r="15" spans="1:10" x14ac:dyDescent="0.25">
      <c r="A15" s="2">
        <v>15746139</v>
      </c>
      <c r="B15" s="3" t="s">
        <v>11</v>
      </c>
      <c r="C15" s="4">
        <v>86000</v>
      </c>
      <c r="D15" s="5">
        <v>20</v>
      </c>
      <c r="E15" s="5">
        <v>0</v>
      </c>
      <c r="F15" s="5">
        <f>IF(G15&gt;=Modelo!$B$10,1,0)</f>
        <v>0</v>
      </c>
      <c r="G15" s="6">
        <f>1/(1+EXP(-(Modelo!$B$5+Modelo!$B$6*D15+Modelo!$B$7*C15+Modelo!$B$8*IF(B15="Male",1,0))))</f>
        <v>1.2864695468176118E-2</v>
      </c>
      <c r="H15" s="6">
        <f t="shared" si="0"/>
        <v>0.98713530453182385</v>
      </c>
      <c r="I15" s="5" t="str">
        <f t="shared" si="1"/>
        <v>Sí</v>
      </c>
      <c r="J15" s="5" t="s">
        <v>12</v>
      </c>
    </row>
    <row r="16" spans="1:10" x14ac:dyDescent="0.25">
      <c r="A16" s="7">
        <v>15704987</v>
      </c>
      <c r="B16" s="8" t="s">
        <v>11</v>
      </c>
      <c r="C16" s="9">
        <v>18000</v>
      </c>
      <c r="D16" s="10">
        <v>32</v>
      </c>
      <c r="E16" s="10">
        <v>0</v>
      </c>
      <c r="F16" s="10">
        <f>IF(G16&gt;=Modelo!$B$10,1,0)</f>
        <v>0</v>
      </c>
      <c r="G16" s="11">
        <f>1/(1+EXP(-(Modelo!$B$5+Modelo!$B$6*D16+Modelo!$B$7*C16+Modelo!$B$8*IF(B16="Male",1,0))))</f>
        <v>1.3479658451645043E-2</v>
      </c>
      <c r="H16" s="11">
        <f t="shared" si="0"/>
        <v>0.986520341548355</v>
      </c>
      <c r="I16" s="10" t="str">
        <f t="shared" si="1"/>
        <v>Sí</v>
      </c>
      <c r="J16" s="10" t="s">
        <v>12</v>
      </c>
    </row>
    <row r="17" spans="1:10" x14ac:dyDescent="0.25">
      <c r="A17" s="2">
        <v>15628972</v>
      </c>
      <c r="B17" s="3" t="s">
        <v>11</v>
      </c>
      <c r="C17" s="4">
        <v>82000</v>
      </c>
      <c r="D17" s="5">
        <v>18</v>
      </c>
      <c r="E17" s="5">
        <v>0</v>
      </c>
      <c r="F17" s="5">
        <f>IF(G17&gt;=Modelo!$B$10,1,0)</f>
        <v>0</v>
      </c>
      <c r="G17" s="6">
        <f>1/(1+EXP(-(Modelo!$B$5+Modelo!$B$6*D17+Modelo!$B$7*C17+Modelo!$B$8*IF(B17="Male",1,0))))</f>
        <v>7.0273800741357936E-3</v>
      </c>
      <c r="H17" s="6">
        <f t="shared" si="0"/>
        <v>0.99297261992586416</v>
      </c>
      <c r="I17" s="5" t="str">
        <f t="shared" si="1"/>
        <v>Sí</v>
      </c>
      <c r="J17" s="5" t="s">
        <v>12</v>
      </c>
    </row>
    <row r="18" spans="1:10" x14ac:dyDescent="0.25">
      <c r="A18" s="7">
        <v>15697686</v>
      </c>
      <c r="B18" s="8" t="s">
        <v>11</v>
      </c>
      <c r="C18" s="9">
        <v>80000</v>
      </c>
      <c r="D18" s="10">
        <v>29</v>
      </c>
      <c r="E18" s="10">
        <v>0</v>
      </c>
      <c r="F18" s="10">
        <f>IF(G18&gt;=Modelo!$B$10,1,0)</f>
        <v>0</v>
      </c>
      <c r="G18" s="11">
        <f>1/(1+EXP(-(Modelo!$B$5+Modelo!$B$6*D18+Modelo!$B$7*C18+Modelo!$B$8*IF(B18="Male",1,0))))</f>
        <v>7.3366560468856853E-2</v>
      </c>
      <c r="H18" s="11">
        <f t="shared" si="0"/>
        <v>0.92663343953114319</v>
      </c>
      <c r="I18" s="10" t="str">
        <f t="shared" si="1"/>
        <v>Sí</v>
      </c>
      <c r="J18" s="10" t="s">
        <v>13</v>
      </c>
    </row>
    <row r="19" spans="1:10" x14ac:dyDescent="0.25">
      <c r="A19" s="2">
        <v>15733883</v>
      </c>
      <c r="B19" s="3" t="s">
        <v>11</v>
      </c>
      <c r="C19" s="4">
        <v>25000</v>
      </c>
      <c r="D19" s="5">
        <v>47</v>
      </c>
      <c r="E19" s="5">
        <v>1</v>
      </c>
      <c r="F19" s="5">
        <f>IF(G19&gt;=Modelo!$B$10,1,0)</f>
        <v>0</v>
      </c>
      <c r="G19" s="6">
        <f>1/(1+EXP(-(Modelo!$B$5+Modelo!$B$6*D19+Modelo!$B$7*C19+Modelo!$B$8*IF(B19="Male",1,0))))</f>
        <v>0.35029109877099995</v>
      </c>
      <c r="H19" s="6">
        <f t="shared" si="0"/>
        <v>0.64970890122900005</v>
      </c>
      <c r="I19" s="5" t="str">
        <f t="shared" si="1"/>
        <v>No</v>
      </c>
      <c r="J19" s="5" t="s">
        <v>13</v>
      </c>
    </row>
    <row r="20" spans="1:10" x14ac:dyDescent="0.25">
      <c r="A20" s="7">
        <v>15617482</v>
      </c>
      <c r="B20" s="8" t="s">
        <v>11</v>
      </c>
      <c r="C20" s="9">
        <v>26000</v>
      </c>
      <c r="D20" s="10">
        <v>45</v>
      </c>
      <c r="E20" s="10">
        <v>1</v>
      </c>
      <c r="F20" s="10">
        <f>IF(G20&gt;=Modelo!$B$10,1,0)</f>
        <v>0</v>
      </c>
      <c r="G20" s="11">
        <f>1/(1+EXP(-(Modelo!$B$5+Modelo!$B$6*D20+Modelo!$B$7*C20+Modelo!$B$8*IF(B20="Male",1,0))))</f>
        <v>0.26273493498314804</v>
      </c>
      <c r="H20" s="11">
        <f t="shared" si="0"/>
        <v>0.73726506501685196</v>
      </c>
      <c r="I20" s="10" t="str">
        <f t="shared" si="1"/>
        <v>No</v>
      </c>
      <c r="J20" s="10" t="s">
        <v>13</v>
      </c>
    </row>
    <row r="21" spans="1:10" x14ac:dyDescent="0.25">
      <c r="A21" s="2">
        <v>15704583</v>
      </c>
      <c r="B21" s="3" t="s">
        <v>11</v>
      </c>
      <c r="C21" s="4">
        <v>28000</v>
      </c>
      <c r="D21" s="5">
        <v>46</v>
      </c>
      <c r="E21" s="5">
        <v>1</v>
      </c>
      <c r="F21" s="5">
        <f>IF(G21&gt;=Modelo!$B$10,1,0)</f>
        <v>0</v>
      </c>
      <c r="G21" s="6">
        <f>1/(1+EXP(-(Modelo!$B$5+Modelo!$B$6*D21+Modelo!$B$7*C21+Modelo!$B$8*IF(B21="Male",1,0))))</f>
        <v>0.32595942156659113</v>
      </c>
      <c r="H21" s="6">
        <f t="shared" si="0"/>
        <v>0.67404057843340892</v>
      </c>
      <c r="I21" s="5" t="str">
        <f t="shared" si="1"/>
        <v>No</v>
      </c>
      <c r="J21" s="5" t="s">
        <v>12</v>
      </c>
    </row>
    <row r="22" spans="1:10" x14ac:dyDescent="0.25">
      <c r="A22" s="7">
        <v>15621083</v>
      </c>
      <c r="B22" s="8" t="s">
        <v>14</v>
      </c>
      <c r="C22" s="9">
        <v>29000</v>
      </c>
      <c r="D22" s="10">
        <v>48</v>
      </c>
      <c r="E22" s="10">
        <v>1</v>
      </c>
      <c r="F22" s="10">
        <f>IF(G22&gt;=Modelo!$B$10,1,0)</f>
        <v>0</v>
      </c>
      <c r="G22" s="11">
        <f>1/(1+EXP(-(Modelo!$B$5+Modelo!$B$6*D22+Modelo!$B$7*C22+Modelo!$B$8*IF(B22="Male",1,0))))</f>
        <v>0.37212394432791546</v>
      </c>
      <c r="H22" s="11">
        <f t="shared" si="0"/>
        <v>0.6278760556720846</v>
      </c>
      <c r="I22" s="10" t="str">
        <f t="shared" si="1"/>
        <v>No</v>
      </c>
      <c r="J22" s="10" t="s">
        <v>12</v>
      </c>
    </row>
    <row r="23" spans="1:10" x14ac:dyDescent="0.25">
      <c r="A23" s="2">
        <v>15649487</v>
      </c>
      <c r="B23" s="3" t="s">
        <v>11</v>
      </c>
      <c r="C23" s="4">
        <v>22000</v>
      </c>
      <c r="D23" s="5">
        <v>45</v>
      </c>
      <c r="E23" s="5">
        <v>1</v>
      </c>
      <c r="F23" s="5">
        <f>IF(G23&gt;=Modelo!$B$10,1,0)</f>
        <v>0</v>
      </c>
      <c r="G23" s="6">
        <f>1/(1+EXP(-(Modelo!$B$5+Modelo!$B$6*D23+Modelo!$B$7*C23+Modelo!$B$8*IF(B23="Male",1,0))))</f>
        <v>0.23343366105707136</v>
      </c>
      <c r="H23" s="6">
        <f t="shared" si="0"/>
        <v>0.76656633894292869</v>
      </c>
      <c r="I23" s="5" t="str">
        <f t="shared" si="1"/>
        <v>No</v>
      </c>
      <c r="J23" s="5" t="s">
        <v>12</v>
      </c>
    </row>
    <row r="24" spans="1:10" x14ac:dyDescent="0.25">
      <c r="A24" s="7">
        <v>15736760</v>
      </c>
      <c r="B24" s="8" t="s">
        <v>14</v>
      </c>
      <c r="C24" s="9">
        <v>49000</v>
      </c>
      <c r="D24" s="10">
        <v>47</v>
      </c>
      <c r="E24" s="10">
        <v>1</v>
      </c>
      <c r="F24" s="10">
        <f>IF(G24&gt;=Modelo!$B$10,1,0)</f>
        <v>1</v>
      </c>
      <c r="G24" s="11">
        <f>1/(1+EXP(-(Modelo!$B$5+Modelo!$B$6*D24+Modelo!$B$7*C24+Modelo!$B$8*IF(B24="Male",1,0))))</f>
        <v>0.50907852002342091</v>
      </c>
      <c r="H24" s="11">
        <f t="shared" si="0"/>
        <v>0.50907852002342091</v>
      </c>
      <c r="I24" s="10" t="str">
        <f t="shared" si="1"/>
        <v>Sí</v>
      </c>
      <c r="J24" s="10" t="s">
        <v>13</v>
      </c>
    </row>
    <row r="25" spans="1:10" x14ac:dyDescent="0.25">
      <c r="A25" s="2">
        <v>15714658</v>
      </c>
      <c r="B25" s="3" t="s">
        <v>11</v>
      </c>
      <c r="C25" s="4">
        <v>41000</v>
      </c>
      <c r="D25" s="5">
        <v>48</v>
      </c>
      <c r="E25" s="5">
        <v>1</v>
      </c>
      <c r="F25" s="5">
        <f>IF(G25&gt;=Modelo!$B$10,1,0)</f>
        <v>1</v>
      </c>
      <c r="G25" s="6">
        <f>1/(1+EXP(-(Modelo!$B$5+Modelo!$B$6*D25+Modelo!$B$7*C25+Modelo!$B$8*IF(B25="Male",1,0))))</f>
        <v>0.5591713629472973</v>
      </c>
      <c r="H25" s="6">
        <f t="shared" si="0"/>
        <v>0.5591713629472973</v>
      </c>
      <c r="I25" s="5" t="str">
        <f t="shared" si="1"/>
        <v>Sí</v>
      </c>
      <c r="J25" s="5" t="s">
        <v>12</v>
      </c>
    </row>
    <row r="26" spans="1:10" x14ac:dyDescent="0.25">
      <c r="A26" s="7">
        <v>15599081</v>
      </c>
      <c r="B26" s="8" t="s">
        <v>14</v>
      </c>
      <c r="C26" s="9">
        <v>22000</v>
      </c>
      <c r="D26" s="10">
        <v>45</v>
      </c>
      <c r="E26" s="10">
        <v>1</v>
      </c>
      <c r="F26" s="10">
        <f>IF(G26&gt;=Modelo!$B$10,1,0)</f>
        <v>0</v>
      </c>
      <c r="G26" s="11">
        <f>1/(1+EXP(-(Modelo!$B$5+Modelo!$B$6*D26+Modelo!$B$7*C26+Modelo!$B$8*IF(B26="Male",1,0))))</f>
        <v>0.18568820835665006</v>
      </c>
      <c r="H26" s="11">
        <f t="shared" si="0"/>
        <v>0.81431179164334999</v>
      </c>
      <c r="I26" s="10" t="str">
        <f t="shared" si="1"/>
        <v>No</v>
      </c>
      <c r="J26" s="10" t="s">
        <v>13</v>
      </c>
    </row>
    <row r="27" spans="1:10" x14ac:dyDescent="0.25">
      <c r="A27" s="2">
        <v>15705113</v>
      </c>
      <c r="B27" s="3" t="s">
        <v>11</v>
      </c>
      <c r="C27" s="4">
        <v>23000</v>
      </c>
      <c r="D27" s="5">
        <v>46</v>
      </c>
      <c r="E27" s="5">
        <v>1</v>
      </c>
      <c r="F27" s="5">
        <f>IF(G27&gt;=Modelo!$B$10,1,0)</f>
        <v>0</v>
      </c>
      <c r="G27" s="6">
        <f>1/(1+EXP(-(Modelo!$B$5+Modelo!$B$6*D27+Modelo!$B$7*C27+Modelo!$B$8*IF(B27="Male",1,0))))</f>
        <v>0.2843380048010834</v>
      </c>
      <c r="H27" s="6">
        <f t="shared" si="0"/>
        <v>0.7156619951989166</v>
      </c>
      <c r="I27" s="5" t="str">
        <f t="shared" si="1"/>
        <v>No</v>
      </c>
      <c r="J27" s="5" t="s">
        <v>12</v>
      </c>
    </row>
    <row r="28" spans="1:10" x14ac:dyDescent="0.25">
      <c r="A28" s="7">
        <v>15631159</v>
      </c>
      <c r="B28" s="8" t="s">
        <v>11</v>
      </c>
      <c r="C28" s="9">
        <v>20000</v>
      </c>
      <c r="D28" s="10">
        <v>47</v>
      </c>
      <c r="E28" s="10">
        <v>1</v>
      </c>
      <c r="F28" s="10">
        <f>IF(G28&gt;=Modelo!$B$10,1,0)</f>
        <v>0</v>
      </c>
      <c r="G28" s="11">
        <f>1/(1+EXP(-(Modelo!$B$5+Modelo!$B$6*D28+Modelo!$B$7*C28+Modelo!$B$8*IF(B28="Male",1,0))))</f>
        <v>0.30697776242505687</v>
      </c>
      <c r="H28" s="11">
        <f t="shared" si="0"/>
        <v>0.69302223757494308</v>
      </c>
      <c r="I28" s="10" t="str">
        <f t="shared" si="1"/>
        <v>No</v>
      </c>
      <c r="J28" s="10" t="s">
        <v>13</v>
      </c>
    </row>
    <row r="29" spans="1:10" x14ac:dyDescent="0.25">
      <c r="A29" s="2">
        <v>15792818</v>
      </c>
      <c r="B29" s="3" t="s">
        <v>11</v>
      </c>
      <c r="C29" s="4">
        <v>28000</v>
      </c>
      <c r="D29" s="5">
        <v>49</v>
      </c>
      <c r="E29" s="5">
        <v>1</v>
      </c>
      <c r="F29" s="5">
        <f>IF(G29&gt;=Modelo!$B$10,1,0)</f>
        <v>0</v>
      </c>
      <c r="G29" s="6">
        <f>1/(1+EXP(-(Modelo!$B$5+Modelo!$B$6*D29+Modelo!$B$7*C29+Modelo!$B$8*IF(B29="Male",1,0))))</f>
        <v>0.48837797251297943</v>
      </c>
      <c r="H29" s="6">
        <f t="shared" si="0"/>
        <v>0.51162202748702057</v>
      </c>
      <c r="I29" s="5" t="str">
        <f t="shared" si="1"/>
        <v>No</v>
      </c>
      <c r="J29" s="5" t="s">
        <v>13</v>
      </c>
    </row>
    <row r="30" spans="1:10" x14ac:dyDescent="0.25">
      <c r="A30" s="7">
        <v>15633531</v>
      </c>
      <c r="B30" s="8" t="s">
        <v>14</v>
      </c>
      <c r="C30" s="9">
        <v>30000</v>
      </c>
      <c r="D30" s="10">
        <v>47</v>
      </c>
      <c r="E30" s="10">
        <v>1</v>
      </c>
      <c r="F30" s="10">
        <f>IF(G30&gt;=Modelo!$B$10,1,0)</f>
        <v>0</v>
      </c>
      <c r="G30" s="11">
        <f>1/(1+EXP(-(Modelo!$B$5+Modelo!$B$6*D30+Modelo!$B$7*C30+Modelo!$B$8*IF(B30="Male",1,0))))</f>
        <v>0.32949188759846632</v>
      </c>
      <c r="H30" s="11">
        <f t="shared" si="0"/>
        <v>0.67050811240153374</v>
      </c>
      <c r="I30" s="10" t="str">
        <f t="shared" si="1"/>
        <v>No</v>
      </c>
      <c r="J30" s="10" t="s">
        <v>12</v>
      </c>
    </row>
    <row r="31" spans="1:10" x14ac:dyDescent="0.25">
      <c r="A31" s="2">
        <v>15744529</v>
      </c>
      <c r="B31" s="3" t="s">
        <v>11</v>
      </c>
      <c r="C31" s="4">
        <v>43000</v>
      </c>
      <c r="D31" s="5">
        <v>29</v>
      </c>
      <c r="E31" s="5">
        <v>0</v>
      </c>
      <c r="F31" s="5">
        <f>IF(G31&gt;=Modelo!$B$10,1,0)</f>
        <v>0</v>
      </c>
      <c r="G31" s="6">
        <f>1/(1+EXP(-(Modelo!$B$5+Modelo!$B$6*D31+Modelo!$B$7*C31+Modelo!$B$8*IF(B31="Male",1,0))))</f>
        <v>1.8156760118043392E-2</v>
      </c>
      <c r="H31" s="6">
        <f t="shared" si="0"/>
        <v>0.98184323988195665</v>
      </c>
      <c r="I31" s="5" t="str">
        <f t="shared" si="1"/>
        <v>Sí</v>
      </c>
      <c r="J31" s="5" t="s">
        <v>12</v>
      </c>
    </row>
    <row r="32" spans="1:10" x14ac:dyDescent="0.25">
      <c r="A32" s="7">
        <v>15669656</v>
      </c>
      <c r="B32" s="8" t="s">
        <v>11</v>
      </c>
      <c r="C32" s="9">
        <v>18000</v>
      </c>
      <c r="D32" s="10">
        <v>31</v>
      </c>
      <c r="E32" s="10">
        <v>0</v>
      </c>
      <c r="F32" s="10">
        <f>IF(G32&gt;=Modelo!$B$10,1,0)</f>
        <v>0</v>
      </c>
      <c r="G32" s="11">
        <f>1/(1+EXP(-(Modelo!$B$5+Modelo!$B$6*D32+Modelo!$B$7*C32+Modelo!$B$8*IF(B32="Male",1,0))))</f>
        <v>1.0775184951106371E-2</v>
      </c>
      <c r="H32" s="11">
        <f t="shared" si="0"/>
        <v>0.98922481504889359</v>
      </c>
      <c r="I32" s="10" t="str">
        <f t="shared" si="1"/>
        <v>Sí</v>
      </c>
      <c r="J32" s="10" t="s">
        <v>12</v>
      </c>
    </row>
    <row r="33" spans="1:10" x14ac:dyDescent="0.25">
      <c r="A33" s="2">
        <v>15581198</v>
      </c>
      <c r="B33" s="3" t="s">
        <v>11</v>
      </c>
      <c r="C33" s="4">
        <v>74000</v>
      </c>
      <c r="D33" s="5">
        <v>31</v>
      </c>
      <c r="E33" s="5">
        <v>0</v>
      </c>
      <c r="F33" s="5">
        <f>IF(G33&gt;=Modelo!$B$10,1,0)</f>
        <v>0</v>
      </c>
      <c r="G33" s="6">
        <f>1/(1+EXP(-(Modelo!$B$5+Modelo!$B$6*D33+Modelo!$B$7*C33+Modelo!$B$8*IF(B33="Male",1,0))))</f>
        <v>8.9596245051789883E-2</v>
      </c>
      <c r="H33" s="6">
        <f t="shared" si="0"/>
        <v>0.91040375494821013</v>
      </c>
      <c r="I33" s="5" t="str">
        <f t="shared" si="1"/>
        <v>Sí</v>
      </c>
      <c r="J33" s="5" t="s">
        <v>12</v>
      </c>
    </row>
    <row r="34" spans="1:10" x14ac:dyDescent="0.25">
      <c r="A34" s="7">
        <v>15729054</v>
      </c>
      <c r="B34" s="8" t="s">
        <v>14</v>
      </c>
      <c r="C34" s="9">
        <v>137000</v>
      </c>
      <c r="D34" s="10">
        <v>27</v>
      </c>
      <c r="E34" s="10">
        <v>1</v>
      </c>
      <c r="F34" s="10">
        <f>IF(G34&gt;=Modelo!$B$10,1,0)</f>
        <v>0</v>
      </c>
      <c r="G34" s="11">
        <f>1/(1+EXP(-(Modelo!$B$5+Modelo!$B$6*D34+Modelo!$B$7*C34+Modelo!$B$8*IF(B34="Male",1,0))))</f>
        <v>0.26148167254328547</v>
      </c>
      <c r="H34" s="11">
        <f t="shared" si="0"/>
        <v>0.73851832745671453</v>
      </c>
      <c r="I34" s="10" t="str">
        <f t="shared" si="1"/>
        <v>No</v>
      </c>
      <c r="J34" s="10" t="s">
        <v>12</v>
      </c>
    </row>
    <row r="35" spans="1:10" x14ac:dyDescent="0.25">
      <c r="A35" s="2">
        <v>15573452</v>
      </c>
      <c r="B35" s="3" t="s">
        <v>14</v>
      </c>
      <c r="C35" s="4">
        <v>16000</v>
      </c>
      <c r="D35" s="5">
        <v>21</v>
      </c>
      <c r="E35" s="5">
        <v>0</v>
      </c>
      <c r="F35" s="5">
        <f>IF(G35&gt;=Modelo!$B$10,1,0)</f>
        <v>0</v>
      </c>
      <c r="G35" s="6">
        <f>1/(1+EXP(-(Modelo!$B$5+Modelo!$B$6*D35+Modelo!$B$7*C35+Modelo!$B$8*IF(B35="Male",1,0))))</f>
        <v>7.8090639788953474E-4</v>
      </c>
      <c r="H35" s="6">
        <f t="shared" si="0"/>
        <v>0.99921909360211048</v>
      </c>
      <c r="I35" s="5" t="str">
        <f t="shared" si="1"/>
        <v>Sí</v>
      </c>
      <c r="J35" s="5" t="s">
        <v>12</v>
      </c>
    </row>
    <row r="36" spans="1:10" x14ac:dyDescent="0.25">
      <c r="A36" s="7">
        <v>15776733</v>
      </c>
      <c r="B36" s="8" t="s">
        <v>14</v>
      </c>
      <c r="C36" s="9">
        <v>44000</v>
      </c>
      <c r="D36" s="10">
        <v>28</v>
      </c>
      <c r="E36" s="10">
        <v>0</v>
      </c>
      <c r="F36" s="10">
        <f>IF(G36&gt;=Modelo!$B$10,1,0)</f>
        <v>0</v>
      </c>
      <c r="G36" s="11">
        <f>1/(1+EXP(-(Modelo!$B$5+Modelo!$B$6*D36+Modelo!$B$7*C36+Modelo!$B$8*IF(B36="Male",1,0))))</f>
        <v>1.1351286061740153E-2</v>
      </c>
      <c r="H36" s="11">
        <f t="shared" si="0"/>
        <v>0.98864871393825982</v>
      </c>
      <c r="I36" s="10" t="str">
        <f t="shared" si="1"/>
        <v>Sí</v>
      </c>
      <c r="J36" s="10" t="s">
        <v>12</v>
      </c>
    </row>
    <row r="37" spans="1:10" x14ac:dyDescent="0.25">
      <c r="A37" s="2">
        <v>15724858</v>
      </c>
      <c r="B37" s="3" t="s">
        <v>11</v>
      </c>
      <c r="C37" s="4">
        <v>90000</v>
      </c>
      <c r="D37" s="5">
        <v>27</v>
      </c>
      <c r="E37" s="5">
        <v>0</v>
      </c>
      <c r="F37" s="5">
        <f>IF(G37&gt;=Modelo!$B$10,1,0)</f>
        <v>0</v>
      </c>
      <c r="G37" s="6">
        <f>1/(1+EXP(-(Modelo!$B$5+Modelo!$B$6*D37+Modelo!$B$7*C37+Modelo!$B$8*IF(B37="Male",1,0))))</f>
        <v>6.9371545646086094E-2</v>
      </c>
      <c r="H37" s="6">
        <f t="shared" si="0"/>
        <v>0.93062845435391395</v>
      </c>
      <c r="I37" s="5" t="str">
        <f t="shared" si="1"/>
        <v>Sí</v>
      </c>
      <c r="J37" s="5" t="s">
        <v>13</v>
      </c>
    </row>
    <row r="38" spans="1:10" x14ac:dyDescent="0.25">
      <c r="A38" s="7">
        <v>15713144</v>
      </c>
      <c r="B38" s="8" t="s">
        <v>11</v>
      </c>
      <c r="C38" s="9">
        <v>27000</v>
      </c>
      <c r="D38" s="10">
        <v>35</v>
      </c>
      <c r="E38" s="10">
        <v>0</v>
      </c>
      <c r="F38" s="10">
        <f>IF(G38&gt;=Modelo!$B$10,1,0)</f>
        <v>0</v>
      </c>
      <c r="G38" s="11">
        <f>1/(1+EXP(-(Modelo!$B$5+Modelo!$B$6*D38+Modelo!$B$7*C38+Modelo!$B$8*IF(B38="Male",1,0))))</f>
        <v>3.699653088840979E-2</v>
      </c>
      <c r="H38" s="11">
        <f t="shared" si="0"/>
        <v>0.96300346911159018</v>
      </c>
      <c r="I38" s="10" t="str">
        <f t="shared" si="1"/>
        <v>Sí</v>
      </c>
      <c r="J38" s="10" t="s">
        <v>13</v>
      </c>
    </row>
    <row r="39" spans="1:10" x14ac:dyDescent="0.25">
      <c r="A39" s="2">
        <v>15690188</v>
      </c>
      <c r="B39" s="3" t="s">
        <v>14</v>
      </c>
      <c r="C39" s="4">
        <v>28000</v>
      </c>
      <c r="D39" s="5">
        <v>33</v>
      </c>
      <c r="E39" s="5">
        <v>0</v>
      </c>
      <c r="F39" s="5">
        <f>IF(G39&gt;=Modelo!$B$10,1,0)</f>
        <v>0</v>
      </c>
      <c r="G39" s="6">
        <f>1/(1+EXP(-(Modelo!$B$5+Modelo!$B$6*D39+Modelo!$B$7*C39+Modelo!$B$8*IF(B39="Male",1,0))))</f>
        <v>1.8660200777015287E-2</v>
      </c>
      <c r="H39" s="6">
        <f t="shared" si="0"/>
        <v>0.98133979922298475</v>
      </c>
      <c r="I39" s="5" t="str">
        <f t="shared" si="1"/>
        <v>Sí</v>
      </c>
      <c r="J39" s="5" t="s">
        <v>12</v>
      </c>
    </row>
    <row r="40" spans="1:10" x14ac:dyDescent="0.25">
      <c r="A40" s="7">
        <v>15689425</v>
      </c>
      <c r="B40" s="8" t="s">
        <v>11</v>
      </c>
      <c r="C40" s="9">
        <v>49000</v>
      </c>
      <c r="D40" s="10">
        <v>30</v>
      </c>
      <c r="E40" s="10">
        <v>0</v>
      </c>
      <c r="F40" s="10">
        <f>IF(G40&gt;=Modelo!$B$10,1,0)</f>
        <v>0</v>
      </c>
      <c r="G40" s="11">
        <f>1/(1+EXP(-(Modelo!$B$5+Modelo!$B$6*D40+Modelo!$B$7*C40+Modelo!$B$8*IF(B40="Male",1,0))))</f>
        <v>2.8529207568253955E-2</v>
      </c>
      <c r="H40" s="11">
        <f t="shared" si="0"/>
        <v>0.97147079243174606</v>
      </c>
      <c r="I40" s="10" t="str">
        <f t="shared" si="1"/>
        <v>Sí</v>
      </c>
      <c r="J40" s="10" t="s">
        <v>12</v>
      </c>
    </row>
    <row r="41" spans="1:10" x14ac:dyDescent="0.25">
      <c r="A41" s="2">
        <v>15671766</v>
      </c>
      <c r="B41" s="3" t="s">
        <v>14</v>
      </c>
      <c r="C41" s="4">
        <v>72000</v>
      </c>
      <c r="D41" s="5">
        <v>26</v>
      </c>
      <c r="E41" s="5">
        <v>0</v>
      </c>
      <c r="F41" s="5">
        <f>IF(G41&gt;=Modelo!$B$10,1,0)</f>
        <v>0</v>
      </c>
      <c r="G41" s="6">
        <f>1/(1+EXP(-(Modelo!$B$5+Modelo!$B$6*D41+Modelo!$B$7*C41+Modelo!$B$8*IF(B41="Male",1,0))))</f>
        <v>2.1461388840095522E-2</v>
      </c>
      <c r="H41" s="6">
        <f t="shared" si="0"/>
        <v>0.97853861115990448</v>
      </c>
      <c r="I41" s="5" t="str">
        <f t="shared" si="1"/>
        <v>Sí</v>
      </c>
      <c r="J41" s="5" t="s">
        <v>12</v>
      </c>
    </row>
    <row r="42" spans="1:10" x14ac:dyDescent="0.25">
      <c r="A42" s="7">
        <v>15782806</v>
      </c>
      <c r="B42" s="8" t="s">
        <v>14</v>
      </c>
      <c r="C42" s="9">
        <v>31000</v>
      </c>
      <c r="D42" s="10">
        <v>27</v>
      </c>
      <c r="E42" s="10">
        <v>0</v>
      </c>
      <c r="F42" s="10">
        <f>IF(G42&gt;=Modelo!$B$10,1,0)</f>
        <v>0</v>
      </c>
      <c r="G42" s="11">
        <f>1/(1+EXP(-(Modelo!$B$5+Modelo!$B$6*D42+Modelo!$B$7*C42+Modelo!$B$8*IF(B42="Male",1,0))))</f>
        <v>5.4609773693951773E-3</v>
      </c>
      <c r="H42" s="11">
        <f t="shared" si="0"/>
        <v>0.99453902263060479</v>
      </c>
      <c r="I42" s="10" t="str">
        <f t="shared" si="1"/>
        <v>Sí</v>
      </c>
      <c r="J42" s="10" t="s">
        <v>12</v>
      </c>
    </row>
    <row r="43" spans="1:10" x14ac:dyDescent="0.25">
      <c r="A43" s="2">
        <v>15764419</v>
      </c>
      <c r="B43" s="3" t="s">
        <v>14</v>
      </c>
      <c r="C43" s="4">
        <v>17000</v>
      </c>
      <c r="D43" s="5">
        <v>27</v>
      </c>
      <c r="E43" s="5">
        <v>0</v>
      </c>
      <c r="F43" s="5">
        <f>IF(G43&gt;=Modelo!$B$10,1,0)</f>
        <v>0</v>
      </c>
      <c r="G43" s="6">
        <f>1/(1+EXP(-(Modelo!$B$5+Modelo!$B$6*D43+Modelo!$B$7*C43+Modelo!$B$8*IF(B43="Male",1,0))))</f>
        <v>3.1571392836233603E-3</v>
      </c>
      <c r="H43" s="6">
        <f t="shared" si="0"/>
        <v>0.99684286071637662</v>
      </c>
      <c r="I43" s="5" t="str">
        <f t="shared" si="1"/>
        <v>Sí</v>
      </c>
      <c r="J43" s="5" t="s">
        <v>12</v>
      </c>
    </row>
    <row r="44" spans="1:10" x14ac:dyDescent="0.25">
      <c r="A44" s="7">
        <v>15591915</v>
      </c>
      <c r="B44" s="8" t="s">
        <v>14</v>
      </c>
      <c r="C44" s="9">
        <v>51000</v>
      </c>
      <c r="D44" s="10">
        <v>33</v>
      </c>
      <c r="E44" s="10">
        <v>0</v>
      </c>
      <c r="F44" s="10">
        <f>IF(G44&gt;=Modelo!$B$10,1,0)</f>
        <v>0</v>
      </c>
      <c r="G44" s="11">
        <f>1/(1+EXP(-(Modelo!$B$5+Modelo!$B$6*D44+Modelo!$B$7*C44+Modelo!$B$8*IF(B44="Male",1,0))))</f>
        <v>4.4851826061328079E-2</v>
      </c>
      <c r="H44" s="11">
        <f t="shared" si="0"/>
        <v>0.95514817393867191</v>
      </c>
      <c r="I44" s="10" t="str">
        <f t="shared" si="1"/>
        <v>Sí</v>
      </c>
      <c r="J44" s="10" t="s">
        <v>12</v>
      </c>
    </row>
    <row r="45" spans="1:10" x14ac:dyDescent="0.25">
      <c r="A45" s="2">
        <v>15772798</v>
      </c>
      <c r="B45" s="3" t="s">
        <v>11</v>
      </c>
      <c r="C45" s="4">
        <v>108000</v>
      </c>
      <c r="D45" s="5">
        <v>35</v>
      </c>
      <c r="E45" s="5">
        <v>0</v>
      </c>
      <c r="F45" s="5">
        <f>IF(G45&gt;=Modelo!$B$10,1,0)</f>
        <v>0</v>
      </c>
      <c r="G45" s="6">
        <f>1/(1+EXP(-(Modelo!$B$5+Modelo!$B$6*D45+Modelo!$B$7*C45+Modelo!$B$8*IF(B45="Male",1,0))))</f>
        <v>0.481134603212867</v>
      </c>
      <c r="H45" s="6">
        <f t="shared" si="0"/>
        <v>0.51886539678713306</v>
      </c>
      <c r="I45" s="5" t="str">
        <f t="shared" si="1"/>
        <v>Sí</v>
      </c>
      <c r="J45" s="5" t="s">
        <v>12</v>
      </c>
    </row>
    <row r="46" spans="1:10" x14ac:dyDescent="0.25">
      <c r="A46" s="7">
        <v>15792008</v>
      </c>
      <c r="B46" s="8" t="s">
        <v>11</v>
      </c>
      <c r="C46" s="9">
        <v>15000</v>
      </c>
      <c r="D46" s="10">
        <v>30</v>
      </c>
      <c r="E46" s="10">
        <v>0</v>
      </c>
      <c r="F46" s="10">
        <f>IF(G46&gt;=Modelo!$B$10,1,0)</f>
        <v>0</v>
      </c>
      <c r="G46" s="11">
        <f>1/(1+EXP(-(Modelo!$B$5+Modelo!$B$6*D46+Modelo!$B$7*C46+Modelo!$B$8*IF(B46="Male",1,0))))</f>
        <v>7.6583903255081718E-3</v>
      </c>
      <c r="H46" s="11">
        <f t="shared" si="0"/>
        <v>0.99234160967449181</v>
      </c>
      <c r="I46" s="10" t="str">
        <f t="shared" si="1"/>
        <v>Sí</v>
      </c>
      <c r="J46" s="10" t="s">
        <v>12</v>
      </c>
    </row>
    <row r="47" spans="1:10" x14ac:dyDescent="0.25">
      <c r="A47" s="2">
        <v>15715541</v>
      </c>
      <c r="B47" s="3" t="s">
        <v>14</v>
      </c>
      <c r="C47" s="4">
        <v>84000</v>
      </c>
      <c r="D47" s="5">
        <v>28</v>
      </c>
      <c r="E47" s="5">
        <v>0</v>
      </c>
      <c r="F47" s="5">
        <f>IF(G47&gt;=Modelo!$B$10,1,0)</f>
        <v>0</v>
      </c>
      <c r="G47" s="6">
        <f>1/(1+EXP(-(Modelo!$B$5+Modelo!$B$6*D47+Modelo!$B$7*C47+Modelo!$B$8*IF(B47="Male",1,0))))</f>
        <v>5.2411564880144056E-2</v>
      </c>
      <c r="H47" s="6">
        <f t="shared" si="0"/>
        <v>0.94758843511985591</v>
      </c>
      <c r="I47" s="5" t="str">
        <f t="shared" si="1"/>
        <v>Sí</v>
      </c>
      <c r="J47" s="5" t="s">
        <v>12</v>
      </c>
    </row>
    <row r="48" spans="1:10" x14ac:dyDescent="0.25">
      <c r="A48" s="7">
        <v>15639277</v>
      </c>
      <c r="B48" s="8" t="s">
        <v>11</v>
      </c>
      <c r="C48" s="9">
        <v>20000</v>
      </c>
      <c r="D48" s="10">
        <v>23</v>
      </c>
      <c r="E48" s="10">
        <v>0</v>
      </c>
      <c r="F48" s="10">
        <f>IF(G48&gt;=Modelo!$B$10,1,0)</f>
        <v>0</v>
      </c>
      <c r="G48" s="11">
        <f>1/(1+EXP(-(Modelo!$B$5+Modelo!$B$6*D48+Modelo!$B$7*C48+Modelo!$B$8*IF(B48="Male",1,0))))</f>
        <v>1.9181880836921517E-3</v>
      </c>
      <c r="H48" s="11">
        <f t="shared" si="0"/>
        <v>0.99808181191630785</v>
      </c>
      <c r="I48" s="10" t="str">
        <f t="shared" si="1"/>
        <v>Sí</v>
      </c>
      <c r="J48" s="10" t="s">
        <v>12</v>
      </c>
    </row>
    <row r="49" spans="1:10" x14ac:dyDescent="0.25">
      <c r="A49" s="2">
        <v>15798850</v>
      </c>
      <c r="B49" s="3" t="s">
        <v>11</v>
      </c>
      <c r="C49" s="4">
        <v>79000</v>
      </c>
      <c r="D49" s="5">
        <v>25</v>
      </c>
      <c r="E49" s="5">
        <v>0</v>
      </c>
      <c r="F49" s="5">
        <f>IF(G49&gt;=Modelo!$B$10,1,0)</f>
        <v>0</v>
      </c>
      <c r="G49" s="6">
        <f>1/(1+EXP(-(Modelo!$B$5+Modelo!$B$6*D49+Modelo!$B$7*C49+Modelo!$B$8*IF(B49="Male",1,0))))</f>
        <v>2.9826149992094726E-2</v>
      </c>
      <c r="H49" s="6">
        <f t="shared" si="0"/>
        <v>0.97017385000790524</v>
      </c>
      <c r="I49" s="5" t="str">
        <f t="shared" si="1"/>
        <v>Sí</v>
      </c>
      <c r="J49" s="5" t="s">
        <v>12</v>
      </c>
    </row>
    <row r="50" spans="1:10" x14ac:dyDescent="0.25">
      <c r="A50" s="7">
        <v>15776348</v>
      </c>
      <c r="B50" s="8" t="s">
        <v>14</v>
      </c>
      <c r="C50" s="9">
        <v>54000</v>
      </c>
      <c r="D50" s="10">
        <v>27</v>
      </c>
      <c r="E50" s="10">
        <v>0</v>
      </c>
      <c r="F50" s="10">
        <f>IF(G50&gt;=Modelo!$B$10,1,0)</f>
        <v>0</v>
      </c>
      <c r="G50" s="11">
        <f>1/(1+EXP(-(Modelo!$B$5+Modelo!$B$6*D50+Modelo!$B$7*C50+Modelo!$B$8*IF(B50="Male",1,0))))</f>
        <v>1.3378627059053197E-2</v>
      </c>
      <c r="H50" s="11">
        <f t="shared" si="0"/>
        <v>0.98662137294094676</v>
      </c>
      <c r="I50" s="10" t="str">
        <f t="shared" si="1"/>
        <v>Sí</v>
      </c>
      <c r="J50" s="10" t="s">
        <v>12</v>
      </c>
    </row>
    <row r="51" spans="1:10" x14ac:dyDescent="0.25">
      <c r="A51" s="2">
        <v>15727696</v>
      </c>
      <c r="B51" s="3" t="s">
        <v>11</v>
      </c>
      <c r="C51" s="4">
        <v>135000</v>
      </c>
      <c r="D51" s="5">
        <v>30</v>
      </c>
      <c r="E51" s="5">
        <v>1</v>
      </c>
      <c r="F51" s="5">
        <f>IF(G51&gt;=Modelo!$B$10,1,0)</f>
        <v>0</v>
      </c>
      <c r="G51" s="6">
        <f>1/(1+EXP(-(Modelo!$B$5+Modelo!$B$6*D51+Modelo!$B$7*C51+Modelo!$B$8*IF(B51="Male",1,0))))</f>
        <v>0.46316174915108088</v>
      </c>
      <c r="H51" s="6">
        <f t="shared" si="0"/>
        <v>0.53683825084891912</v>
      </c>
      <c r="I51" s="5" t="str">
        <f t="shared" si="1"/>
        <v>No</v>
      </c>
      <c r="J51" s="5" t="s">
        <v>12</v>
      </c>
    </row>
    <row r="52" spans="1:10" x14ac:dyDescent="0.25">
      <c r="A52" s="7">
        <v>15793813</v>
      </c>
      <c r="B52" s="8" t="s">
        <v>14</v>
      </c>
      <c r="C52" s="9">
        <v>89000</v>
      </c>
      <c r="D52" s="10">
        <v>31</v>
      </c>
      <c r="E52" s="10">
        <v>0</v>
      </c>
      <c r="F52" s="10">
        <f>IF(G52&gt;=Modelo!$B$10,1,0)</f>
        <v>0</v>
      </c>
      <c r="G52" s="11">
        <f>1/(1+EXP(-(Modelo!$B$5+Modelo!$B$6*D52+Modelo!$B$7*C52+Modelo!$B$8*IF(B52="Male",1,0))))</f>
        <v>0.117300564081084</v>
      </c>
      <c r="H52" s="11">
        <f t="shared" si="0"/>
        <v>0.88269943591891598</v>
      </c>
      <c r="I52" s="10" t="str">
        <f t="shared" si="1"/>
        <v>Sí</v>
      </c>
      <c r="J52" s="10" t="s">
        <v>12</v>
      </c>
    </row>
    <row r="53" spans="1:10" x14ac:dyDescent="0.25">
      <c r="A53" s="2">
        <v>15694395</v>
      </c>
      <c r="B53" s="3" t="s">
        <v>14</v>
      </c>
      <c r="C53" s="4">
        <v>32000</v>
      </c>
      <c r="D53" s="5">
        <v>24</v>
      </c>
      <c r="E53" s="5">
        <v>0</v>
      </c>
      <c r="F53" s="5">
        <f>IF(G53&gt;=Modelo!$B$10,1,0)</f>
        <v>0</v>
      </c>
      <c r="G53" s="6">
        <f>1/(1+EXP(-(Modelo!$B$5+Modelo!$B$6*D53+Modelo!$B$7*C53+Modelo!$B$8*IF(B53="Male",1,0))))</f>
        <v>2.8849254912634748E-3</v>
      </c>
      <c r="H53" s="6">
        <f t="shared" si="0"/>
        <v>0.99711507450873649</v>
      </c>
      <c r="I53" s="5" t="str">
        <f t="shared" si="1"/>
        <v>Sí</v>
      </c>
      <c r="J53" s="5" t="s">
        <v>12</v>
      </c>
    </row>
    <row r="54" spans="1:10" x14ac:dyDescent="0.25">
      <c r="A54" s="7">
        <v>15764195</v>
      </c>
      <c r="B54" s="8" t="s">
        <v>14</v>
      </c>
      <c r="C54" s="9">
        <v>44000</v>
      </c>
      <c r="D54" s="10">
        <v>18</v>
      </c>
      <c r="E54" s="10">
        <v>0</v>
      </c>
      <c r="F54" s="10">
        <f>IF(G54&gt;=Modelo!$B$10,1,0)</f>
        <v>0</v>
      </c>
      <c r="G54" s="11">
        <f>1/(1+EXP(-(Modelo!$B$5+Modelo!$B$6*D54+Modelo!$B$7*C54+Modelo!$B$8*IF(B54="Male",1,0))))</f>
        <v>1.188653860976444E-3</v>
      </c>
      <c r="H54" s="11">
        <f t="shared" si="0"/>
        <v>0.99881134613902356</v>
      </c>
      <c r="I54" s="10" t="str">
        <f t="shared" si="1"/>
        <v>Sí</v>
      </c>
      <c r="J54" s="10" t="s">
        <v>12</v>
      </c>
    </row>
    <row r="55" spans="1:10" x14ac:dyDescent="0.25">
      <c r="A55" s="2">
        <v>15744919</v>
      </c>
      <c r="B55" s="3" t="s">
        <v>14</v>
      </c>
      <c r="C55" s="4">
        <v>83000</v>
      </c>
      <c r="D55" s="5">
        <v>29</v>
      </c>
      <c r="E55" s="5">
        <v>0</v>
      </c>
      <c r="F55" s="5">
        <f>IF(G55&gt;=Modelo!$B$10,1,0)</f>
        <v>0</v>
      </c>
      <c r="G55" s="6">
        <f>1/(1+EXP(-(Modelo!$B$5+Modelo!$B$6*D55+Modelo!$B$7*C55+Modelo!$B$8*IF(B55="Male",1,0))))</f>
        <v>6.2536658751223925E-2</v>
      </c>
      <c r="H55" s="6">
        <f t="shared" si="0"/>
        <v>0.93746334124877606</v>
      </c>
      <c r="I55" s="5" t="str">
        <f t="shared" si="1"/>
        <v>Sí</v>
      </c>
      <c r="J55" s="5" t="s">
        <v>13</v>
      </c>
    </row>
    <row r="56" spans="1:10" x14ac:dyDescent="0.25">
      <c r="A56" s="7">
        <v>15671655</v>
      </c>
      <c r="B56" s="8" t="s">
        <v>14</v>
      </c>
      <c r="C56" s="9">
        <v>23000</v>
      </c>
      <c r="D56" s="10">
        <v>35</v>
      </c>
      <c r="E56" s="10">
        <v>0</v>
      </c>
      <c r="F56" s="10">
        <f>IF(G56&gt;=Modelo!$B$10,1,0)</f>
        <v>0</v>
      </c>
      <c r="G56" s="11">
        <f>1/(1+EXP(-(Modelo!$B$5+Modelo!$B$6*D56+Modelo!$B$7*C56+Modelo!$B$8*IF(B56="Male",1,0))))</f>
        <v>2.3993051985475369E-2</v>
      </c>
      <c r="H56" s="11">
        <f t="shared" si="0"/>
        <v>0.97600694801452459</v>
      </c>
      <c r="I56" s="10" t="str">
        <f t="shared" si="1"/>
        <v>Sí</v>
      </c>
      <c r="J56" s="10" t="s">
        <v>12</v>
      </c>
    </row>
    <row r="57" spans="1:10" x14ac:dyDescent="0.25">
      <c r="A57" s="2">
        <v>15654901</v>
      </c>
      <c r="B57" s="3" t="s">
        <v>14</v>
      </c>
      <c r="C57" s="4">
        <v>58000</v>
      </c>
      <c r="D57" s="5">
        <v>27</v>
      </c>
      <c r="E57" s="5">
        <v>0</v>
      </c>
      <c r="F57" s="5">
        <f>IF(G57&gt;=Modelo!$B$10,1,0)</f>
        <v>0</v>
      </c>
      <c r="G57" s="6">
        <f>1/(1+EXP(-(Modelo!$B$5+Modelo!$B$6*D57+Modelo!$B$7*C57+Modelo!$B$8*IF(B57="Male",1,0))))</f>
        <v>1.5620821812507213E-2</v>
      </c>
      <c r="H57" s="6">
        <f t="shared" si="0"/>
        <v>0.98437917818749276</v>
      </c>
      <c r="I57" s="5" t="str">
        <f t="shared" si="1"/>
        <v>Sí</v>
      </c>
      <c r="J57" s="5" t="s">
        <v>12</v>
      </c>
    </row>
    <row r="58" spans="1:10" x14ac:dyDescent="0.25">
      <c r="A58" s="7">
        <v>15649136</v>
      </c>
      <c r="B58" s="8" t="s">
        <v>14</v>
      </c>
      <c r="C58" s="9">
        <v>55000</v>
      </c>
      <c r="D58" s="10">
        <v>24</v>
      </c>
      <c r="E58" s="10">
        <v>0</v>
      </c>
      <c r="F58" s="10">
        <f>IF(G58&gt;=Modelo!$B$10,1,0)</f>
        <v>0</v>
      </c>
      <c r="G58" s="11">
        <f>1/(1+EXP(-(Modelo!$B$5+Modelo!$B$6*D58+Modelo!$B$7*C58+Modelo!$B$8*IF(B58="Male",1,0))))</f>
        <v>7.094304102587384E-3</v>
      </c>
      <c r="H58" s="11">
        <f t="shared" si="0"/>
        <v>0.99290569589741262</v>
      </c>
      <c r="I58" s="10" t="str">
        <f t="shared" si="1"/>
        <v>Sí</v>
      </c>
      <c r="J58" s="10" t="s">
        <v>12</v>
      </c>
    </row>
    <row r="59" spans="1:10" x14ac:dyDescent="0.25">
      <c r="A59" s="2">
        <v>15775562</v>
      </c>
      <c r="B59" s="3" t="s">
        <v>14</v>
      </c>
      <c r="C59" s="4">
        <v>48000</v>
      </c>
      <c r="D59" s="5">
        <v>23</v>
      </c>
      <c r="E59" s="5">
        <v>0</v>
      </c>
      <c r="F59" s="5">
        <f>IF(G59&gt;=Modelo!$B$10,1,0)</f>
        <v>0</v>
      </c>
      <c r="G59" s="6">
        <f>1/(1+EXP(-(Modelo!$B$5+Modelo!$B$6*D59+Modelo!$B$7*C59+Modelo!$B$8*IF(B59="Male",1,0))))</f>
        <v>4.307182819266852E-3</v>
      </c>
      <c r="H59" s="6">
        <f t="shared" si="0"/>
        <v>0.9956928171807331</v>
      </c>
      <c r="I59" s="5" t="str">
        <f t="shared" si="1"/>
        <v>Sí</v>
      </c>
      <c r="J59" s="5" t="s">
        <v>12</v>
      </c>
    </row>
    <row r="60" spans="1:10" x14ac:dyDescent="0.25">
      <c r="A60" s="7">
        <v>15807481</v>
      </c>
      <c r="B60" s="8" t="s">
        <v>11</v>
      </c>
      <c r="C60" s="9">
        <v>79000</v>
      </c>
      <c r="D60" s="10">
        <v>28</v>
      </c>
      <c r="E60" s="10">
        <v>0</v>
      </c>
      <c r="F60" s="10">
        <f>IF(G60&gt;=Modelo!$B$10,1,0)</f>
        <v>0</v>
      </c>
      <c r="G60" s="11">
        <f>1/(1+EXP(-(Modelo!$B$5+Modelo!$B$6*D60+Modelo!$B$7*C60+Modelo!$B$8*IF(B60="Male",1,0))))</f>
        <v>5.7212482698136662E-2</v>
      </c>
      <c r="H60" s="11">
        <f t="shared" si="0"/>
        <v>0.94278751730186339</v>
      </c>
      <c r="I60" s="10" t="str">
        <f t="shared" si="1"/>
        <v>Sí</v>
      </c>
      <c r="J60" s="10" t="s">
        <v>12</v>
      </c>
    </row>
    <row r="61" spans="1:10" x14ac:dyDescent="0.25">
      <c r="A61" s="2">
        <v>15642885</v>
      </c>
      <c r="B61" s="3" t="s">
        <v>11</v>
      </c>
      <c r="C61" s="4">
        <v>18000</v>
      </c>
      <c r="D61" s="5">
        <v>22</v>
      </c>
      <c r="E61" s="5">
        <v>0</v>
      </c>
      <c r="F61" s="5">
        <f>IF(G61&gt;=Modelo!$B$10,1,0)</f>
        <v>0</v>
      </c>
      <c r="G61" s="6">
        <f>1/(1+EXP(-(Modelo!$B$5+Modelo!$B$6*D61+Modelo!$B$7*C61+Modelo!$B$8*IF(B61="Male",1,0))))</f>
        <v>1.4142529137590092E-3</v>
      </c>
      <c r="H61" s="6">
        <f t="shared" si="0"/>
        <v>0.99858574708624104</v>
      </c>
      <c r="I61" s="5" t="str">
        <f t="shared" si="1"/>
        <v>Sí</v>
      </c>
      <c r="J61" s="5" t="s">
        <v>12</v>
      </c>
    </row>
    <row r="62" spans="1:10" x14ac:dyDescent="0.25">
      <c r="A62" s="7">
        <v>15789109</v>
      </c>
      <c r="B62" s="8" t="s">
        <v>14</v>
      </c>
      <c r="C62" s="9">
        <v>117000</v>
      </c>
      <c r="D62" s="10">
        <v>32</v>
      </c>
      <c r="E62" s="10">
        <v>0</v>
      </c>
      <c r="F62" s="10">
        <f>IF(G62&gt;=Modelo!$B$10,1,0)</f>
        <v>0</v>
      </c>
      <c r="G62" s="11">
        <f>1/(1+EXP(-(Modelo!$B$5+Modelo!$B$6*D62+Modelo!$B$7*C62+Modelo!$B$8*IF(B62="Male",1,0))))</f>
        <v>0.33380598004032358</v>
      </c>
      <c r="H62" s="11">
        <f t="shared" si="0"/>
        <v>0.66619401995967642</v>
      </c>
      <c r="I62" s="10" t="str">
        <f t="shared" si="1"/>
        <v>Sí</v>
      </c>
      <c r="J62" s="10" t="s">
        <v>12</v>
      </c>
    </row>
    <row r="63" spans="1:10" x14ac:dyDescent="0.25">
      <c r="A63" s="2">
        <v>15814004</v>
      </c>
      <c r="B63" s="3" t="s">
        <v>11</v>
      </c>
      <c r="C63" s="4">
        <v>20000</v>
      </c>
      <c r="D63" s="5">
        <v>27</v>
      </c>
      <c r="E63" s="5">
        <v>0</v>
      </c>
      <c r="F63" s="5">
        <f>IF(G63&gt;=Modelo!$B$10,1,0)</f>
        <v>0</v>
      </c>
      <c r="G63" s="6">
        <f>1/(1+EXP(-(Modelo!$B$5+Modelo!$B$6*D63+Modelo!$B$7*C63+Modelo!$B$8*IF(B63="Male",1,0))))</f>
        <v>4.736261558988329E-3</v>
      </c>
      <c r="H63" s="6">
        <f t="shared" si="0"/>
        <v>0.99526373844101168</v>
      </c>
      <c r="I63" s="5" t="str">
        <f t="shared" si="1"/>
        <v>Sí</v>
      </c>
      <c r="J63" s="5" t="s">
        <v>12</v>
      </c>
    </row>
    <row r="64" spans="1:10" x14ac:dyDescent="0.25">
      <c r="A64" s="7">
        <v>15673619</v>
      </c>
      <c r="B64" s="8" t="s">
        <v>11</v>
      </c>
      <c r="C64" s="9">
        <v>87000</v>
      </c>
      <c r="D64" s="10">
        <v>25</v>
      </c>
      <c r="E64" s="10">
        <v>0</v>
      </c>
      <c r="F64" s="10">
        <f>IF(G64&gt;=Modelo!$B$10,1,0)</f>
        <v>0</v>
      </c>
      <c r="G64" s="11">
        <f>1/(1+EXP(-(Modelo!$B$5+Modelo!$B$6*D64+Modelo!$B$7*C64+Modelo!$B$8*IF(B64="Male",1,0))))</f>
        <v>4.0401550558359679E-2</v>
      </c>
      <c r="H64" s="11">
        <f t="shared" si="0"/>
        <v>0.9595984494416403</v>
      </c>
      <c r="I64" s="10" t="str">
        <f t="shared" si="1"/>
        <v>Sí</v>
      </c>
      <c r="J64" s="10" t="s">
        <v>12</v>
      </c>
    </row>
    <row r="65" spans="1:10" x14ac:dyDescent="0.25">
      <c r="A65" s="2">
        <v>15595135</v>
      </c>
      <c r="B65" s="3" t="s">
        <v>14</v>
      </c>
      <c r="C65" s="4">
        <v>66000</v>
      </c>
      <c r="D65" s="5">
        <v>23</v>
      </c>
      <c r="E65" s="5">
        <v>0</v>
      </c>
      <c r="F65" s="5">
        <f>IF(G65&gt;=Modelo!$B$10,1,0)</f>
        <v>0</v>
      </c>
      <c r="G65" s="6">
        <f>1/(1+EXP(-(Modelo!$B$5+Modelo!$B$6*D65+Modelo!$B$7*C65+Modelo!$B$8*IF(B65="Male",1,0))))</f>
        <v>8.7003122932001898E-3</v>
      </c>
      <c r="H65" s="6">
        <f t="shared" si="0"/>
        <v>0.99129968770679977</v>
      </c>
      <c r="I65" s="5" t="str">
        <f t="shared" si="1"/>
        <v>Sí</v>
      </c>
      <c r="J65" s="5" t="s">
        <v>12</v>
      </c>
    </row>
    <row r="66" spans="1:10" x14ac:dyDescent="0.25">
      <c r="A66" s="7">
        <v>15583681</v>
      </c>
      <c r="B66" s="8" t="s">
        <v>11</v>
      </c>
      <c r="C66" s="9">
        <v>120000</v>
      </c>
      <c r="D66" s="10">
        <v>32</v>
      </c>
      <c r="E66" s="10">
        <v>1</v>
      </c>
      <c r="F66" s="10">
        <f>IF(G66&gt;=Modelo!$B$10,1,0)</f>
        <v>0</v>
      </c>
      <c r="G66" s="11">
        <f>1/(1+EXP(-(Modelo!$B$5+Modelo!$B$6*D66+Modelo!$B$7*C66+Modelo!$B$8*IF(B66="Male",1,0))))</f>
        <v>0.42950920837326173</v>
      </c>
      <c r="H66" s="11">
        <f t="shared" si="0"/>
        <v>0.57049079162673832</v>
      </c>
      <c r="I66" s="10" t="str">
        <f t="shared" si="1"/>
        <v>No</v>
      </c>
      <c r="J66" s="10" t="s">
        <v>12</v>
      </c>
    </row>
    <row r="67" spans="1:10" x14ac:dyDescent="0.25">
      <c r="A67" s="2">
        <v>15605000</v>
      </c>
      <c r="B67" s="3" t="s">
        <v>14</v>
      </c>
      <c r="C67" s="4">
        <v>83000</v>
      </c>
      <c r="D67" s="5">
        <v>59</v>
      </c>
      <c r="E67" s="5">
        <v>0</v>
      </c>
      <c r="F67" s="5">
        <f>IF(G67&gt;=Modelo!$B$10,1,0)</f>
        <v>1</v>
      </c>
      <c r="G67" s="6">
        <f>1/(1+EXP(-(Modelo!$B$5+Modelo!$B$6*D67+Modelo!$B$7*C67+Modelo!$B$8*IF(B67="Male",1,0))))</f>
        <v>0.98358138393580485</v>
      </c>
      <c r="H67" s="6">
        <f t="shared" ref="H67:H130" si="2">MAX(G67,1-G67)</f>
        <v>0.98358138393580485</v>
      </c>
      <c r="I67" s="5" t="str">
        <f t="shared" ref="I67:I130" si="3">IF(F67=E67,"Sí","No")</f>
        <v>No</v>
      </c>
      <c r="J67" s="5" t="s">
        <v>13</v>
      </c>
    </row>
    <row r="68" spans="1:10" x14ac:dyDescent="0.25">
      <c r="A68" s="7">
        <v>15718071</v>
      </c>
      <c r="B68" s="8" t="s">
        <v>11</v>
      </c>
      <c r="C68" s="9">
        <v>58000</v>
      </c>
      <c r="D68" s="10">
        <v>24</v>
      </c>
      <c r="E68" s="10">
        <v>0</v>
      </c>
      <c r="F68" s="10">
        <f>IF(G68&gt;=Modelo!$B$10,1,0)</f>
        <v>0</v>
      </c>
      <c r="G68" s="11">
        <f>1/(1+EXP(-(Modelo!$B$5+Modelo!$B$6*D68+Modelo!$B$7*C68+Modelo!$B$8*IF(B68="Male",1,0))))</f>
        <v>1.0621714670605978E-2</v>
      </c>
      <c r="H68" s="11">
        <f t="shared" si="2"/>
        <v>0.98937828532939398</v>
      </c>
      <c r="I68" s="10" t="str">
        <f t="shared" si="3"/>
        <v>Sí</v>
      </c>
      <c r="J68" s="10" t="s">
        <v>12</v>
      </c>
    </row>
    <row r="69" spans="1:10" x14ac:dyDescent="0.25">
      <c r="A69" s="2">
        <v>15679760</v>
      </c>
      <c r="B69" s="3" t="s">
        <v>11</v>
      </c>
      <c r="C69" s="4">
        <v>19000</v>
      </c>
      <c r="D69" s="5">
        <v>24</v>
      </c>
      <c r="E69" s="5">
        <v>0</v>
      </c>
      <c r="F69" s="5">
        <f>IF(G69&gt;=Modelo!$B$10,1,0)</f>
        <v>0</v>
      </c>
      <c r="G69" s="6">
        <f>1/(1+EXP(-(Modelo!$B$5+Modelo!$B$6*D69+Modelo!$B$7*C69+Modelo!$B$8*IF(B69="Male",1,0))))</f>
        <v>2.3125575948196669E-3</v>
      </c>
      <c r="H69" s="6">
        <f t="shared" si="2"/>
        <v>0.99768744240518037</v>
      </c>
      <c r="I69" s="5" t="str">
        <f t="shared" si="3"/>
        <v>Sí</v>
      </c>
      <c r="J69" s="5" t="s">
        <v>13</v>
      </c>
    </row>
    <row r="70" spans="1:10" x14ac:dyDescent="0.25">
      <c r="A70" s="7">
        <v>15654574</v>
      </c>
      <c r="B70" s="8" t="s">
        <v>14</v>
      </c>
      <c r="C70" s="9">
        <v>82000</v>
      </c>
      <c r="D70" s="10">
        <v>23</v>
      </c>
      <c r="E70" s="10">
        <v>0</v>
      </c>
      <c r="F70" s="10">
        <f>IF(G70&gt;=Modelo!$B$10,1,0)</f>
        <v>0</v>
      </c>
      <c r="G70" s="11">
        <f>1/(1+EXP(-(Modelo!$B$5+Modelo!$B$6*D70+Modelo!$B$7*C70+Modelo!$B$8*IF(B70="Male",1,0))))</f>
        <v>1.6194254196636344E-2</v>
      </c>
      <c r="H70" s="11">
        <f t="shared" si="2"/>
        <v>0.98380574580336366</v>
      </c>
      <c r="I70" s="10" t="str">
        <f t="shared" si="3"/>
        <v>Sí</v>
      </c>
      <c r="J70" s="10" t="s">
        <v>12</v>
      </c>
    </row>
    <row r="71" spans="1:10" x14ac:dyDescent="0.25">
      <c r="A71" s="2">
        <v>15577178</v>
      </c>
      <c r="B71" s="3" t="s">
        <v>14</v>
      </c>
      <c r="C71" s="4">
        <v>63000</v>
      </c>
      <c r="D71" s="5">
        <v>22</v>
      </c>
      <c r="E71" s="5">
        <v>0</v>
      </c>
      <c r="F71" s="5">
        <f>IF(G71&gt;=Modelo!$B$10,1,0)</f>
        <v>0</v>
      </c>
      <c r="G71" s="6">
        <f>1/(1+EXP(-(Modelo!$B$5+Modelo!$B$6*D71+Modelo!$B$7*C71+Modelo!$B$8*IF(B71="Male",1,0))))</f>
        <v>6.1799391011047745E-3</v>
      </c>
      <c r="H71" s="6">
        <f t="shared" si="2"/>
        <v>0.99382006089889519</v>
      </c>
      <c r="I71" s="5" t="str">
        <f t="shared" si="3"/>
        <v>Sí</v>
      </c>
      <c r="J71" s="5" t="s">
        <v>13</v>
      </c>
    </row>
    <row r="72" spans="1:10" x14ac:dyDescent="0.25">
      <c r="A72" s="7">
        <v>15595324</v>
      </c>
      <c r="B72" s="8" t="s">
        <v>14</v>
      </c>
      <c r="C72" s="9">
        <v>68000</v>
      </c>
      <c r="D72" s="10">
        <v>31</v>
      </c>
      <c r="E72" s="10">
        <v>0</v>
      </c>
      <c r="F72" s="10">
        <f>IF(G72&gt;=Modelo!$B$10,1,0)</f>
        <v>0</v>
      </c>
      <c r="G72" s="11">
        <f>1/(1+EXP(-(Modelo!$B$5+Modelo!$B$6*D72+Modelo!$B$7*C72+Modelo!$B$8*IF(B72="Male",1,0))))</f>
        <v>5.5010066466210393E-2</v>
      </c>
      <c r="H72" s="11">
        <f t="shared" si="2"/>
        <v>0.94498993353378957</v>
      </c>
      <c r="I72" s="10" t="str">
        <f t="shared" si="3"/>
        <v>Sí</v>
      </c>
      <c r="J72" s="10" t="s">
        <v>12</v>
      </c>
    </row>
    <row r="73" spans="1:10" x14ac:dyDescent="0.25">
      <c r="A73" s="2">
        <v>15756932</v>
      </c>
      <c r="B73" s="3" t="s">
        <v>11</v>
      </c>
      <c r="C73" s="4">
        <v>80000</v>
      </c>
      <c r="D73" s="5">
        <v>25</v>
      </c>
      <c r="E73" s="5">
        <v>0</v>
      </c>
      <c r="F73" s="5">
        <f>IF(G73&gt;=Modelo!$B$10,1,0)</f>
        <v>0</v>
      </c>
      <c r="G73" s="6">
        <f>1/(1+EXP(-(Modelo!$B$5+Modelo!$B$6*D73+Modelo!$B$7*C73+Modelo!$B$8*IF(B73="Male",1,0))))</f>
        <v>3.0984774633660964E-2</v>
      </c>
      <c r="H73" s="6">
        <f t="shared" si="2"/>
        <v>0.96901522536633899</v>
      </c>
      <c r="I73" s="5" t="str">
        <f t="shared" si="3"/>
        <v>Sí</v>
      </c>
      <c r="J73" s="5" t="s">
        <v>13</v>
      </c>
    </row>
    <row r="74" spans="1:10" x14ac:dyDescent="0.25">
      <c r="A74" s="7">
        <v>15726358</v>
      </c>
      <c r="B74" s="8" t="s">
        <v>14</v>
      </c>
      <c r="C74" s="9">
        <v>27000</v>
      </c>
      <c r="D74" s="10">
        <v>24</v>
      </c>
      <c r="E74" s="10">
        <v>0</v>
      </c>
      <c r="F74" s="10">
        <f>IF(G74&gt;=Modelo!$B$10,1,0)</f>
        <v>0</v>
      </c>
      <c r="G74" s="11">
        <f>1/(1+EXP(-(Modelo!$B$5+Modelo!$B$6*D74+Modelo!$B$7*C74+Modelo!$B$8*IF(B74="Male",1,0))))</f>
        <v>2.3714155552564107E-3</v>
      </c>
      <c r="H74" s="11">
        <f t="shared" si="2"/>
        <v>0.99762858444474356</v>
      </c>
      <c r="I74" s="10" t="str">
        <f t="shared" si="3"/>
        <v>Sí</v>
      </c>
      <c r="J74" s="10" t="s">
        <v>12</v>
      </c>
    </row>
    <row r="75" spans="1:10" x14ac:dyDescent="0.25">
      <c r="A75" s="2">
        <v>15595228</v>
      </c>
      <c r="B75" s="3" t="s">
        <v>14</v>
      </c>
      <c r="C75" s="4">
        <v>23000</v>
      </c>
      <c r="D75" s="5">
        <v>20</v>
      </c>
      <c r="E75" s="5">
        <v>0</v>
      </c>
      <c r="F75" s="5">
        <f>IF(G75&gt;=Modelo!$B$10,1,0)</f>
        <v>0</v>
      </c>
      <c r="G75" s="6">
        <f>1/(1+EXP(-(Modelo!$B$5+Modelo!$B$6*D75+Modelo!$B$7*C75+Modelo!$B$8*IF(B75="Male",1,0))))</f>
        <v>8.1965252768332925E-4</v>
      </c>
      <c r="H75" s="6">
        <f t="shared" si="2"/>
        <v>0.99918034747231665</v>
      </c>
      <c r="I75" s="5" t="str">
        <f t="shared" si="3"/>
        <v>Sí</v>
      </c>
      <c r="J75" s="5" t="s">
        <v>12</v>
      </c>
    </row>
    <row r="76" spans="1:10" x14ac:dyDescent="0.25">
      <c r="A76" s="7">
        <v>15782530</v>
      </c>
      <c r="B76" s="8" t="s">
        <v>14</v>
      </c>
      <c r="C76" s="9">
        <v>113000</v>
      </c>
      <c r="D76" s="10">
        <v>33</v>
      </c>
      <c r="E76" s="10">
        <v>0</v>
      </c>
      <c r="F76" s="10">
        <f>IF(G76&gt;=Modelo!$B$10,1,0)</f>
        <v>0</v>
      </c>
      <c r="G76" s="11">
        <f>1/(1+EXP(-(Modelo!$B$5+Modelo!$B$6*D76+Modelo!$B$7*C76+Modelo!$B$8*IF(B76="Male",1,0))))</f>
        <v>0.34942471758374222</v>
      </c>
      <c r="H76" s="11">
        <f t="shared" si="2"/>
        <v>0.65057528241625784</v>
      </c>
      <c r="I76" s="10" t="str">
        <f t="shared" si="3"/>
        <v>Sí</v>
      </c>
      <c r="J76" s="10" t="s">
        <v>13</v>
      </c>
    </row>
    <row r="77" spans="1:10" x14ac:dyDescent="0.25">
      <c r="A77" s="2">
        <v>15592877</v>
      </c>
      <c r="B77" s="3" t="s">
        <v>11</v>
      </c>
      <c r="C77" s="4">
        <v>18000</v>
      </c>
      <c r="D77" s="5">
        <v>32</v>
      </c>
      <c r="E77" s="5">
        <v>0</v>
      </c>
      <c r="F77" s="5">
        <f>IF(G77&gt;=Modelo!$B$10,1,0)</f>
        <v>0</v>
      </c>
      <c r="G77" s="6">
        <f>1/(1+EXP(-(Modelo!$B$5+Modelo!$B$6*D77+Modelo!$B$7*C77+Modelo!$B$8*IF(B77="Male",1,0))))</f>
        <v>1.3479658451645043E-2</v>
      </c>
      <c r="H77" s="6">
        <f t="shared" si="2"/>
        <v>0.986520341548355</v>
      </c>
      <c r="I77" s="5" t="str">
        <f t="shared" si="3"/>
        <v>Sí</v>
      </c>
      <c r="J77" s="5" t="s">
        <v>13</v>
      </c>
    </row>
    <row r="78" spans="1:10" x14ac:dyDescent="0.25">
      <c r="A78" s="7">
        <v>15651983</v>
      </c>
      <c r="B78" s="8" t="s">
        <v>11</v>
      </c>
      <c r="C78" s="9">
        <v>112000</v>
      </c>
      <c r="D78" s="10">
        <v>34</v>
      </c>
      <c r="E78" s="10">
        <v>1</v>
      </c>
      <c r="F78" s="10">
        <f>IF(G78&gt;=Modelo!$B$10,1,0)</f>
        <v>0</v>
      </c>
      <c r="G78" s="11">
        <f>1/(1+EXP(-(Modelo!$B$5+Modelo!$B$6*D78+Modelo!$B$7*C78+Modelo!$B$8*IF(B78="Male",1,0))))</f>
        <v>0.46382592195097827</v>
      </c>
      <c r="H78" s="11">
        <f t="shared" si="2"/>
        <v>0.53617407804902173</v>
      </c>
      <c r="I78" s="10" t="str">
        <f t="shared" si="3"/>
        <v>No</v>
      </c>
      <c r="J78" s="10" t="s">
        <v>12</v>
      </c>
    </row>
    <row r="79" spans="1:10" x14ac:dyDescent="0.25">
      <c r="A79" s="2">
        <v>15746737</v>
      </c>
      <c r="B79" s="3" t="s">
        <v>11</v>
      </c>
      <c r="C79" s="4">
        <v>52000</v>
      </c>
      <c r="D79" s="5">
        <v>18</v>
      </c>
      <c r="E79" s="5">
        <v>0</v>
      </c>
      <c r="F79" s="5">
        <f>IF(G79&gt;=Modelo!$B$10,1,0)</f>
        <v>0</v>
      </c>
      <c r="G79" s="6">
        <f>1/(1+EXP(-(Modelo!$B$5+Modelo!$B$6*D79+Modelo!$B$7*C79+Modelo!$B$8*IF(B79="Male",1,0))))</f>
        <v>2.1717445118926561E-3</v>
      </c>
      <c r="H79" s="6">
        <f t="shared" si="2"/>
        <v>0.99782825548810739</v>
      </c>
      <c r="I79" s="5" t="str">
        <f t="shared" si="3"/>
        <v>Sí</v>
      </c>
      <c r="J79" s="5" t="s">
        <v>12</v>
      </c>
    </row>
    <row r="80" spans="1:10" x14ac:dyDescent="0.25">
      <c r="A80" s="7">
        <v>15774179</v>
      </c>
      <c r="B80" s="8" t="s">
        <v>14</v>
      </c>
      <c r="C80" s="9">
        <v>27000</v>
      </c>
      <c r="D80" s="10">
        <v>22</v>
      </c>
      <c r="E80" s="10">
        <v>0</v>
      </c>
      <c r="F80" s="10">
        <f>IF(G80&gt;=Modelo!$B$10,1,0)</f>
        <v>0</v>
      </c>
      <c r="G80" s="11">
        <f>1/(1+EXP(-(Modelo!$B$5+Modelo!$B$6*D80+Modelo!$B$7*C80+Modelo!$B$8*IF(B80="Male",1,0))))</f>
        <v>1.5083321924000517E-3</v>
      </c>
      <c r="H80" s="11">
        <f t="shared" si="2"/>
        <v>0.9984916678075999</v>
      </c>
      <c r="I80" s="10" t="str">
        <f t="shared" si="3"/>
        <v>Sí</v>
      </c>
      <c r="J80" s="10" t="s">
        <v>12</v>
      </c>
    </row>
    <row r="81" spans="1:10" x14ac:dyDescent="0.25">
      <c r="A81" s="2">
        <v>15667265</v>
      </c>
      <c r="B81" s="3" t="s">
        <v>14</v>
      </c>
      <c r="C81" s="4">
        <v>87000</v>
      </c>
      <c r="D81" s="5">
        <v>28</v>
      </c>
      <c r="E81" s="5">
        <v>0</v>
      </c>
      <c r="F81" s="5">
        <f>IF(G81&gt;=Modelo!$B$10,1,0)</f>
        <v>0</v>
      </c>
      <c r="G81" s="6">
        <f>1/(1+EXP(-(Modelo!$B$5+Modelo!$B$6*D81+Modelo!$B$7*C81+Modelo!$B$8*IF(B81="Male",1,0))))</f>
        <v>5.8586571971910917E-2</v>
      </c>
      <c r="H81" s="6">
        <f t="shared" si="2"/>
        <v>0.94141342802808903</v>
      </c>
      <c r="I81" s="5" t="str">
        <f t="shared" si="3"/>
        <v>Sí</v>
      </c>
      <c r="J81" s="5" t="s">
        <v>12</v>
      </c>
    </row>
    <row r="82" spans="1:10" x14ac:dyDescent="0.25">
      <c r="A82" s="7">
        <v>15655123</v>
      </c>
      <c r="B82" s="8" t="s">
        <v>14</v>
      </c>
      <c r="C82" s="9">
        <v>17000</v>
      </c>
      <c r="D82" s="10">
        <v>26</v>
      </c>
      <c r="E82" s="10">
        <v>0</v>
      </c>
      <c r="F82" s="10">
        <f>IF(G82&gt;=Modelo!$B$10,1,0)</f>
        <v>0</v>
      </c>
      <c r="G82" s="11">
        <f>1/(1+EXP(-(Modelo!$B$5+Modelo!$B$6*D82+Modelo!$B$7*C82+Modelo!$B$8*IF(B82="Male",1,0))))</f>
        <v>2.5184237696766285E-3</v>
      </c>
      <c r="H82" s="11">
        <f t="shared" si="2"/>
        <v>0.99748157623032341</v>
      </c>
      <c r="I82" s="10" t="str">
        <f t="shared" si="3"/>
        <v>Sí</v>
      </c>
      <c r="J82" s="10" t="s">
        <v>12</v>
      </c>
    </row>
    <row r="83" spans="1:10" x14ac:dyDescent="0.25">
      <c r="A83" s="2">
        <v>15595917</v>
      </c>
      <c r="B83" s="3" t="s">
        <v>11</v>
      </c>
      <c r="C83" s="4">
        <v>80000</v>
      </c>
      <c r="D83" s="5">
        <v>30</v>
      </c>
      <c r="E83" s="5">
        <v>0</v>
      </c>
      <c r="F83" s="5">
        <f>IF(G83&gt;=Modelo!$B$10,1,0)</f>
        <v>0</v>
      </c>
      <c r="G83" s="6">
        <f>1/(1+EXP(-(Modelo!$B$5+Modelo!$B$6*D83+Modelo!$B$7*C83+Modelo!$B$8*IF(B83="Male",1,0))))</f>
        <v>9.0346114931711907E-2</v>
      </c>
      <c r="H83" s="6">
        <f t="shared" si="2"/>
        <v>0.90965388506828804</v>
      </c>
      <c r="I83" s="5" t="str">
        <f t="shared" si="3"/>
        <v>Sí</v>
      </c>
      <c r="J83" s="5" t="s">
        <v>13</v>
      </c>
    </row>
    <row r="84" spans="1:10" x14ac:dyDescent="0.25">
      <c r="A84" s="7">
        <v>15668385</v>
      </c>
      <c r="B84" s="8" t="s">
        <v>11</v>
      </c>
      <c r="C84" s="9">
        <v>42000</v>
      </c>
      <c r="D84" s="10">
        <v>39</v>
      </c>
      <c r="E84" s="10">
        <v>0</v>
      </c>
      <c r="F84" s="10">
        <f>IF(G84&gt;=Modelo!$B$10,1,0)</f>
        <v>0</v>
      </c>
      <c r="G84" s="11">
        <f>1/(1+EXP(-(Modelo!$B$5+Modelo!$B$6*D84+Modelo!$B$7*C84+Modelo!$B$8*IF(B84="Male",1,0))))</f>
        <v>0.14642030110817614</v>
      </c>
      <c r="H84" s="11">
        <f t="shared" si="2"/>
        <v>0.85357969889182383</v>
      </c>
      <c r="I84" s="10" t="str">
        <f t="shared" si="3"/>
        <v>Sí</v>
      </c>
      <c r="J84" s="10" t="s">
        <v>12</v>
      </c>
    </row>
    <row r="85" spans="1:10" x14ac:dyDescent="0.25">
      <c r="A85" s="2">
        <v>15709476</v>
      </c>
      <c r="B85" s="3" t="s">
        <v>11</v>
      </c>
      <c r="C85" s="4">
        <v>49000</v>
      </c>
      <c r="D85" s="5">
        <v>20</v>
      </c>
      <c r="E85" s="5">
        <v>0</v>
      </c>
      <c r="F85" s="5">
        <f>IF(G85&gt;=Modelo!$B$10,1,0)</f>
        <v>0</v>
      </c>
      <c r="G85" s="6">
        <f>1/(1+EXP(-(Modelo!$B$5+Modelo!$B$6*D85+Modelo!$B$7*C85+Modelo!$B$8*IF(B85="Male",1,0))))</f>
        <v>3.0346520326528831E-3</v>
      </c>
      <c r="H85" s="6">
        <f t="shared" si="2"/>
        <v>0.99696534796734715</v>
      </c>
      <c r="I85" s="5" t="str">
        <f t="shared" si="3"/>
        <v>Sí</v>
      </c>
      <c r="J85" s="5" t="s">
        <v>12</v>
      </c>
    </row>
    <row r="86" spans="1:10" x14ac:dyDescent="0.25">
      <c r="A86" s="7">
        <v>15711218</v>
      </c>
      <c r="B86" s="8" t="s">
        <v>11</v>
      </c>
      <c r="C86" s="9">
        <v>88000</v>
      </c>
      <c r="D86" s="10">
        <v>35</v>
      </c>
      <c r="E86" s="10">
        <v>0</v>
      </c>
      <c r="F86" s="10">
        <f>IF(G86&gt;=Modelo!$B$10,1,0)</f>
        <v>0</v>
      </c>
      <c r="G86" s="11">
        <f>1/(1+EXP(-(Modelo!$B$5+Modelo!$B$6*D86+Modelo!$B$7*C86+Modelo!$B$8*IF(B86="Male",1,0))))</f>
        <v>0.29700413620392163</v>
      </c>
      <c r="H86" s="11">
        <f t="shared" si="2"/>
        <v>0.70299586379607837</v>
      </c>
      <c r="I86" s="10" t="str">
        <f t="shared" si="3"/>
        <v>Sí</v>
      </c>
      <c r="J86" s="10" t="s">
        <v>12</v>
      </c>
    </row>
    <row r="87" spans="1:10" x14ac:dyDescent="0.25">
      <c r="A87" s="2">
        <v>15798659</v>
      </c>
      <c r="B87" s="3" t="s">
        <v>14</v>
      </c>
      <c r="C87" s="4">
        <v>62000</v>
      </c>
      <c r="D87" s="5">
        <v>30</v>
      </c>
      <c r="E87" s="5">
        <v>0</v>
      </c>
      <c r="F87" s="5">
        <f>IF(G87&gt;=Modelo!$B$10,1,0)</f>
        <v>0</v>
      </c>
      <c r="G87" s="6">
        <f>1/(1+EXP(-(Modelo!$B$5+Modelo!$B$6*D87+Modelo!$B$7*C87+Modelo!$B$8*IF(B87="Male",1,0))))</f>
        <v>3.5360332881212049E-2</v>
      </c>
      <c r="H87" s="6">
        <f t="shared" si="2"/>
        <v>0.9646396671187879</v>
      </c>
      <c r="I87" s="5" t="str">
        <f t="shared" si="3"/>
        <v>Sí</v>
      </c>
      <c r="J87" s="5" t="s">
        <v>12</v>
      </c>
    </row>
    <row r="88" spans="1:10" x14ac:dyDescent="0.25">
      <c r="A88" s="7">
        <v>15663939</v>
      </c>
      <c r="B88" s="8" t="s">
        <v>14</v>
      </c>
      <c r="C88" s="9">
        <v>118000</v>
      </c>
      <c r="D88" s="10">
        <v>31</v>
      </c>
      <c r="E88" s="10">
        <v>1</v>
      </c>
      <c r="F88" s="10">
        <f>IF(G88&gt;=Modelo!$B$10,1,0)</f>
        <v>0</v>
      </c>
      <c r="G88" s="11">
        <f>1/(1+EXP(-(Modelo!$B$5+Modelo!$B$6*D88+Modelo!$B$7*C88+Modelo!$B$8*IF(B88="Male",1,0))))</f>
        <v>0.29351166860423988</v>
      </c>
      <c r="H88" s="11">
        <f t="shared" si="2"/>
        <v>0.70648833139576017</v>
      </c>
      <c r="I88" s="10" t="str">
        <f t="shared" si="3"/>
        <v>No</v>
      </c>
      <c r="J88" s="10" t="s">
        <v>12</v>
      </c>
    </row>
    <row r="89" spans="1:10" x14ac:dyDescent="0.25">
      <c r="A89" s="2">
        <v>15694946</v>
      </c>
      <c r="B89" s="3" t="s">
        <v>11</v>
      </c>
      <c r="C89" s="4">
        <v>55000</v>
      </c>
      <c r="D89" s="5">
        <v>24</v>
      </c>
      <c r="E89" s="5">
        <v>0</v>
      </c>
      <c r="F89" s="5">
        <f>IF(G89&gt;=Modelo!$B$10,1,0)</f>
        <v>0</v>
      </c>
      <c r="G89" s="6">
        <f>1/(1+EXP(-(Modelo!$B$5+Modelo!$B$6*D89+Modelo!$B$7*C89+Modelo!$B$8*IF(B89="Male",1,0))))</f>
        <v>9.4514340153667685E-3</v>
      </c>
      <c r="H89" s="6">
        <f t="shared" si="2"/>
        <v>0.99054856598463326</v>
      </c>
      <c r="I89" s="5" t="str">
        <f t="shared" si="3"/>
        <v>Sí</v>
      </c>
      <c r="J89" s="5" t="s">
        <v>12</v>
      </c>
    </row>
    <row r="90" spans="1:10" x14ac:dyDescent="0.25">
      <c r="A90" s="7">
        <v>15631912</v>
      </c>
      <c r="B90" s="8" t="s">
        <v>14</v>
      </c>
      <c r="C90" s="9">
        <v>85000</v>
      </c>
      <c r="D90" s="10">
        <v>28</v>
      </c>
      <c r="E90" s="10">
        <v>0</v>
      </c>
      <c r="F90" s="10">
        <f>IF(G90&gt;=Modelo!$B$10,1,0)</f>
        <v>0</v>
      </c>
      <c r="G90" s="11">
        <f>1/(1+EXP(-(Modelo!$B$5+Modelo!$B$6*D90+Modelo!$B$7*C90+Modelo!$B$8*IF(B90="Male",1,0))))</f>
        <v>5.4398347315633498E-2</v>
      </c>
      <c r="H90" s="11">
        <f t="shared" si="2"/>
        <v>0.94560165268436647</v>
      </c>
      <c r="I90" s="10" t="str">
        <f t="shared" si="3"/>
        <v>Sí</v>
      </c>
      <c r="J90" s="10" t="s">
        <v>12</v>
      </c>
    </row>
    <row r="91" spans="1:10" x14ac:dyDescent="0.25">
      <c r="A91" s="2">
        <v>15768816</v>
      </c>
      <c r="B91" s="3" t="s">
        <v>11</v>
      </c>
      <c r="C91" s="4">
        <v>81000</v>
      </c>
      <c r="D91" s="5">
        <v>26</v>
      </c>
      <c r="E91" s="5">
        <v>0</v>
      </c>
      <c r="F91" s="5">
        <f>IF(G91&gt;=Modelo!$B$10,1,0)</f>
        <v>0</v>
      </c>
      <c r="G91" s="6">
        <f>1/(1+EXP(-(Modelo!$B$5+Modelo!$B$6*D91+Modelo!$B$7*C91+Modelo!$B$8*IF(B91="Male",1,0))))</f>
        <v>4.0047968717485755E-2</v>
      </c>
      <c r="H91" s="6">
        <f t="shared" si="2"/>
        <v>0.95995203128251427</v>
      </c>
      <c r="I91" s="5" t="str">
        <f t="shared" si="3"/>
        <v>Sí</v>
      </c>
      <c r="J91" s="5" t="s">
        <v>12</v>
      </c>
    </row>
    <row r="92" spans="1:10" x14ac:dyDescent="0.25">
      <c r="A92" s="7">
        <v>15682268</v>
      </c>
      <c r="B92" s="8" t="s">
        <v>11</v>
      </c>
      <c r="C92" s="9">
        <v>50000</v>
      </c>
      <c r="D92" s="10">
        <v>35</v>
      </c>
      <c r="E92" s="10">
        <v>0</v>
      </c>
      <c r="F92" s="10">
        <f>IF(G92&gt;=Modelo!$B$10,1,0)</f>
        <v>0</v>
      </c>
      <c r="G92" s="11">
        <f>1/(1+EXP(-(Modelo!$B$5+Modelo!$B$6*D92+Modelo!$B$7*C92+Modelo!$B$8*IF(B92="Male",1,0))))</f>
        <v>8.6652605374937214E-2</v>
      </c>
      <c r="H92" s="11">
        <f t="shared" si="2"/>
        <v>0.91334739462506276</v>
      </c>
      <c r="I92" s="10" t="str">
        <f t="shared" si="3"/>
        <v>Sí</v>
      </c>
      <c r="J92" s="10" t="s">
        <v>13</v>
      </c>
    </row>
    <row r="93" spans="1:10" x14ac:dyDescent="0.25">
      <c r="A93" s="2">
        <v>15684801</v>
      </c>
      <c r="B93" s="3" t="s">
        <v>11</v>
      </c>
      <c r="C93" s="4">
        <v>81000</v>
      </c>
      <c r="D93" s="5">
        <v>22</v>
      </c>
      <c r="E93" s="5">
        <v>0</v>
      </c>
      <c r="F93" s="5">
        <f>IF(G93&gt;=Modelo!$B$10,1,0)</f>
        <v>0</v>
      </c>
      <c r="G93" s="6">
        <f>1/(1+EXP(-(Modelo!$B$5+Modelo!$B$6*D93+Modelo!$B$7*C93+Modelo!$B$8*IF(B93="Male",1,0))))</f>
        <v>1.6569229152206127E-2</v>
      </c>
      <c r="H93" s="6">
        <f t="shared" si="2"/>
        <v>0.98343077084779384</v>
      </c>
      <c r="I93" s="5" t="str">
        <f t="shared" si="3"/>
        <v>Sí</v>
      </c>
      <c r="J93" s="5" t="s">
        <v>12</v>
      </c>
    </row>
    <row r="94" spans="1:10" x14ac:dyDescent="0.25">
      <c r="A94" s="7">
        <v>15636428</v>
      </c>
      <c r="B94" s="8" t="s">
        <v>14</v>
      </c>
      <c r="C94" s="9">
        <v>116000</v>
      </c>
      <c r="D94" s="10">
        <v>30</v>
      </c>
      <c r="E94" s="10">
        <v>0</v>
      </c>
      <c r="F94" s="10">
        <f>IF(G94&gt;=Modelo!$B$10,1,0)</f>
        <v>0</v>
      </c>
      <c r="G94" s="11">
        <f>1/(1+EXP(-(Modelo!$B$5+Modelo!$B$6*D94+Modelo!$B$7*C94+Modelo!$B$8*IF(B94="Male",1,0))))</f>
        <v>0.23439230085190846</v>
      </c>
      <c r="H94" s="11">
        <f t="shared" si="2"/>
        <v>0.76560769914809157</v>
      </c>
      <c r="I94" s="10" t="str">
        <f t="shared" si="3"/>
        <v>Sí</v>
      </c>
      <c r="J94" s="10" t="s">
        <v>12</v>
      </c>
    </row>
    <row r="95" spans="1:10" x14ac:dyDescent="0.25">
      <c r="A95" s="2">
        <v>15809823</v>
      </c>
      <c r="B95" s="3" t="s">
        <v>11</v>
      </c>
      <c r="C95" s="4">
        <v>15000</v>
      </c>
      <c r="D95" s="5">
        <v>26</v>
      </c>
      <c r="E95" s="5">
        <v>0</v>
      </c>
      <c r="F95" s="5">
        <f>IF(G95&gt;=Modelo!$B$10,1,0)</f>
        <v>0</v>
      </c>
      <c r="G95" s="6">
        <f>1/(1+EXP(-(Modelo!$B$5+Modelo!$B$6*D95+Modelo!$B$7*C95+Modelo!$B$8*IF(B95="Male",1,0))))</f>
        <v>3.1070794410637897E-3</v>
      </c>
      <c r="H95" s="6">
        <f t="shared" si="2"/>
        <v>0.99689292055893619</v>
      </c>
      <c r="I95" s="5" t="str">
        <f t="shared" si="3"/>
        <v>Sí</v>
      </c>
      <c r="J95" s="5" t="s">
        <v>13</v>
      </c>
    </row>
    <row r="96" spans="1:10" x14ac:dyDescent="0.25">
      <c r="A96" s="7">
        <v>15699284</v>
      </c>
      <c r="B96" s="8" t="s">
        <v>14</v>
      </c>
      <c r="C96" s="9">
        <v>28000</v>
      </c>
      <c r="D96" s="10">
        <v>29</v>
      </c>
      <c r="E96" s="10">
        <v>0</v>
      </c>
      <c r="F96" s="10">
        <f>IF(G96&gt;=Modelo!$B$10,1,0)</f>
        <v>0</v>
      </c>
      <c r="G96" s="11">
        <f>1/(1+EXP(-(Modelo!$B$5+Modelo!$B$6*D96+Modelo!$B$7*C96+Modelo!$B$8*IF(B96="Male",1,0))))</f>
        <v>7.620826798311337E-3</v>
      </c>
      <c r="H96" s="11">
        <f t="shared" si="2"/>
        <v>0.99237917320168867</v>
      </c>
      <c r="I96" s="10" t="str">
        <f t="shared" si="3"/>
        <v>Sí</v>
      </c>
      <c r="J96" s="10" t="s">
        <v>12</v>
      </c>
    </row>
    <row r="97" spans="1:10" x14ac:dyDescent="0.25">
      <c r="A97" s="2">
        <v>15786993</v>
      </c>
      <c r="B97" s="3" t="s">
        <v>14</v>
      </c>
      <c r="C97" s="4">
        <v>83000</v>
      </c>
      <c r="D97" s="5">
        <v>29</v>
      </c>
      <c r="E97" s="5">
        <v>0</v>
      </c>
      <c r="F97" s="5">
        <f>IF(G97&gt;=Modelo!$B$10,1,0)</f>
        <v>0</v>
      </c>
      <c r="G97" s="6">
        <f>1/(1+EXP(-(Modelo!$B$5+Modelo!$B$6*D97+Modelo!$B$7*C97+Modelo!$B$8*IF(B97="Male",1,0))))</f>
        <v>6.2536658751223925E-2</v>
      </c>
      <c r="H97" s="6">
        <f t="shared" si="2"/>
        <v>0.93746334124877606</v>
      </c>
      <c r="I97" s="5" t="str">
        <f t="shared" si="3"/>
        <v>Sí</v>
      </c>
      <c r="J97" s="5" t="s">
        <v>12</v>
      </c>
    </row>
    <row r="98" spans="1:10" x14ac:dyDescent="0.25">
      <c r="A98" s="7">
        <v>15709441</v>
      </c>
      <c r="B98" s="8" t="s">
        <v>14</v>
      </c>
      <c r="C98" s="9">
        <v>44000</v>
      </c>
      <c r="D98" s="10">
        <v>35</v>
      </c>
      <c r="E98" s="10">
        <v>0</v>
      </c>
      <c r="F98" s="10">
        <f>IF(G98&gt;=Modelo!$B$10,1,0)</f>
        <v>0</v>
      </c>
      <c r="G98" s="11">
        <f>1/(1+EXP(-(Modelo!$B$5+Modelo!$B$6*D98+Modelo!$B$7*C98+Modelo!$B$8*IF(B98="Male",1,0))))</f>
        <v>5.3136416634590657E-2</v>
      </c>
      <c r="H98" s="11">
        <f t="shared" si="2"/>
        <v>0.94686358336540932</v>
      </c>
      <c r="I98" s="10" t="str">
        <f t="shared" si="3"/>
        <v>Sí</v>
      </c>
      <c r="J98" s="10" t="s">
        <v>12</v>
      </c>
    </row>
    <row r="99" spans="1:10" x14ac:dyDescent="0.25">
      <c r="A99" s="2">
        <v>15710257</v>
      </c>
      <c r="B99" s="3" t="s">
        <v>14</v>
      </c>
      <c r="C99" s="4">
        <v>25000</v>
      </c>
      <c r="D99" s="5">
        <v>35</v>
      </c>
      <c r="E99" s="5">
        <v>0</v>
      </c>
      <c r="F99" s="5">
        <f>IF(G99&gt;=Modelo!$B$10,1,0)</f>
        <v>0</v>
      </c>
      <c r="G99" s="6">
        <f>1/(1+EXP(-(Modelo!$B$5+Modelo!$B$6*D99+Modelo!$B$7*C99+Modelo!$B$8*IF(B99="Male",1,0))))</f>
        <v>2.5904449116137263E-2</v>
      </c>
      <c r="H99" s="6">
        <f t="shared" si="2"/>
        <v>0.97409555088386268</v>
      </c>
      <c r="I99" s="5" t="str">
        <f t="shared" si="3"/>
        <v>Sí</v>
      </c>
      <c r="J99" s="5" t="s">
        <v>12</v>
      </c>
    </row>
    <row r="100" spans="1:10" x14ac:dyDescent="0.25">
      <c r="A100" s="7">
        <v>15582492</v>
      </c>
      <c r="B100" s="8" t="s">
        <v>11</v>
      </c>
      <c r="C100" s="9">
        <v>123000</v>
      </c>
      <c r="D100" s="10">
        <v>28</v>
      </c>
      <c r="E100" s="10">
        <v>1</v>
      </c>
      <c r="F100" s="10">
        <f>IF(G100&gt;=Modelo!$B$10,1,0)</f>
        <v>0</v>
      </c>
      <c r="G100" s="11">
        <f>1/(1+EXP(-(Modelo!$B$5+Modelo!$B$6*D100+Modelo!$B$7*C100+Modelo!$B$8*IF(B100="Male",1,0))))</f>
        <v>0.25490281724684383</v>
      </c>
      <c r="H100" s="11">
        <f t="shared" si="2"/>
        <v>0.74509718275315617</v>
      </c>
      <c r="I100" s="10" t="str">
        <f t="shared" si="3"/>
        <v>No</v>
      </c>
      <c r="J100" s="10" t="s">
        <v>13</v>
      </c>
    </row>
    <row r="101" spans="1:10" x14ac:dyDescent="0.25">
      <c r="A101" s="2">
        <v>15575694</v>
      </c>
      <c r="B101" s="3" t="s">
        <v>11</v>
      </c>
      <c r="C101" s="4">
        <v>73000</v>
      </c>
      <c r="D101" s="5">
        <v>35</v>
      </c>
      <c r="E101" s="5">
        <v>0</v>
      </c>
      <c r="F101" s="5">
        <f>IF(G101&gt;=Modelo!$B$10,1,0)</f>
        <v>0</v>
      </c>
      <c r="G101" s="6">
        <f>1/(1+EXP(-(Modelo!$B$5+Modelo!$B$6*D101+Modelo!$B$7*C101+Modelo!$B$8*IF(B101="Male",1,0))))</f>
        <v>0.18981917121970493</v>
      </c>
      <c r="H101" s="6">
        <f t="shared" si="2"/>
        <v>0.81018082878029507</v>
      </c>
      <c r="I101" s="5" t="str">
        <f t="shared" si="3"/>
        <v>Sí</v>
      </c>
      <c r="J101" s="5" t="s">
        <v>12</v>
      </c>
    </row>
    <row r="102" spans="1:10" x14ac:dyDescent="0.25">
      <c r="A102" s="7">
        <v>15756820</v>
      </c>
      <c r="B102" s="8" t="s">
        <v>14</v>
      </c>
      <c r="C102" s="9">
        <v>37000</v>
      </c>
      <c r="D102" s="10">
        <v>28</v>
      </c>
      <c r="E102" s="10">
        <v>0</v>
      </c>
      <c r="F102" s="10">
        <f>IF(G102&gt;=Modelo!$B$10,1,0)</f>
        <v>0</v>
      </c>
      <c r="G102" s="11">
        <f>1/(1+EXP(-(Modelo!$B$5+Modelo!$B$6*D102+Modelo!$B$7*C102+Modelo!$B$8*IF(B102="Male",1,0))))</f>
        <v>8.6445364993734779E-3</v>
      </c>
      <c r="H102" s="11">
        <f t="shared" si="2"/>
        <v>0.99135546350062653</v>
      </c>
      <c r="I102" s="10" t="str">
        <f t="shared" si="3"/>
        <v>Sí</v>
      </c>
      <c r="J102" s="10" t="s">
        <v>12</v>
      </c>
    </row>
    <row r="103" spans="1:10" x14ac:dyDescent="0.25">
      <c r="A103" s="2">
        <v>15766289</v>
      </c>
      <c r="B103" s="3" t="s">
        <v>11</v>
      </c>
      <c r="C103" s="4">
        <v>88000</v>
      </c>
      <c r="D103" s="5">
        <v>27</v>
      </c>
      <c r="E103" s="5">
        <v>0</v>
      </c>
      <c r="F103" s="5">
        <f>IF(G103&gt;=Modelo!$B$10,1,0)</f>
        <v>0</v>
      </c>
      <c r="G103" s="6">
        <f>1/(1+EXP(-(Modelo!$B$5+Modelo!$B$6*D103+Modelo!$B$7*C103+Modelo!$B$8*IF(B103="Male",1,0))))</f>
        <v>6.4465122353829354E-2</v>
      </c>
      <c r="H103" s="6">
        <f t="shared" si="2"/>
        <v>0.9355348776461706</v>
      </c>
      <c r="I103" s="5" t="str">
        <f t="shared" si="3"/>
        <v>Sí</v>
      </c>
      <c r="J103" s="5" t="s">
        <v>12</v>
      </c>
    </row>
    <row r="104" spans="1:10" x14ac:dyDescent="0.25">
      <c r="A104" s="7">
        <v>15593014</v>
      </c>
      <c r="B104" s="8" t="s">
        <v>11</v>
      </c>
      <c r="C104" s="9">
        <v>59000</v>
      </c>
      <c r="D104" s="10">
        <v>28</v>
      </c>
      <c r="E104" s="10">
        <v>0</v>
      </c>
      <c r="F104" s="10">
        <f>IF(G104&gt;=Modelo!$B$10,1,0)</f>
        <v>0</v>
      </c>
      <c r="G104" s="11">
        <f>1/(1+EXP(-(Modelo!$B$5+Modelo!$B$6*D104+Modelo!$B$7*C104+Modelo!$B$8*IF(B104="Male",1,0))))</f>
        <v>2.6904822690845206E-2</v>
      </c>
      <c r="H104" s="11">
        <f t="shared" si="2"/>
        <v>0.97309517730915485</v>
      </c>
      <c r="I104" s="10" t="str">
        <f t="shared" si="3"/>
        <v>Sí</v>
      </c>
      <c r="J104" s="10" t="s">
        <v>12</v>
      </c>
    </row>
    <row r="105" spans="1:10" x14ac:dyDescent="0.25">
      <c r="A105" s="2">
        <v>15584545</v>
      </c>
      <c r="B105" s="3" t="s">
        <v>14</v>
      </c>
      <c r="C105" s="4">
        <v>86000</v>
      </c>
      <c r="D105" s="5">
        <v>32</v>
      </c>
      <c r="E105" s="5">
        <v>0</v>
      </c>
      <c r="F105" s="5">
        <f>IF(G105&gt;=Modelo!$B$10,1,0)</f>
        <v>0</v>
      </c>
      <c r="G105" s="6">
        <f>1/(1+EXP(-(Modelo!$B$5+Modelo!$B$6*D105+Modelo!$B$7*C105+Modelo!$B$8*IF(B105="Male",1,0))))</f>
        <v>0.12903842040234556</v>
      </c>
      <c r="H105" s="6">
        <f t="shared" si="2"/>
        <v>0.87096157959765441</v>
      </c>
      <c r="I105" s="5" t="str">
        <f t="shared" si="3"/>
        <v>Sí</v>
      </c>
      <c r="J105" s="5" t="s">
        <v>12</v>
      </c>
    </row>
    <row r="106" spans="1:10" x14ac:dyDescent="0.25">
      <c r="A106" s="7">
        <v>15675949</v>
      </c>
      <c r="B106" s="8" t="s">
        <v>14</v>
      </c>
      <c r="C106" s="9">
        <v>149000</v>
      </c>
      <c r="D106" s="10">
        <v>33</v>
      </c>
      <c r="E106" s="10">
        <v>1</v>
      </c>
      <c r="F106" s="10">
        <f>IF(G106&gt;=Modelo!$B$10,1,0)</f>
        <v>1</v>
      </c>
      <c r="G106" s="11">
        <f>1/(1+EXP(-(Modelo!$B$5+Modelo!$B$6*D106+Modelo!$B$7*C106+Modelo!$B$8*IF(B106="Male",1,0))))</f>
        <v>0.68856619486285675</v>
      </c>
      <c r="H106" s="11">
        <f t="shared" si="2"/>
        <v>0.68856619486285675</v>
      </c>
      <c r="I106" s="10" t="str">
        <f t="shared" si="3"/>
        <v>Sí</v>
      </c>
      <c r="J106" s="10" t="s">
        <v>12</v>
      </c>
    </row>
    <row r="107" spans="1:10" x14ac:dyDescent="0.25">
      <c r="A107" s="2">
        <v>15672091</v>
      </c>
      <c r="B107" s="3" t="s">
        <v>14</v>
      </c>
      <c r="C107" s="4">
        <v>21000</v>
      </c>
      <c r="D107" s="5">
        <v>19</v>
      </c>
      <c r="E107" s="5">
        <v>0</v>
      </c>
      <c r="F107" s="5">
        <f>IF(G107&gt;=Modelo!$B$10,1,0)</f>
        <v>0</v>
      </c>
      <c r="G107" s="6">
        <f>1/(1+EXP(-(Modelo!$B$5+Modelo!$B$6*D107+Modelo!$B$7*C107+Modelo!$B$8*IF(B107="Male",1,0))))</f>
        <v>6.0414351147320918E-4</v>
      </c>
      <c r="H107" s="6">
        <f t="shared" si="2"/>
        <v>0.9993958564885268</v>
      </c>
      <c r="I107" s="5" t="str">
        <f t="shared" si="3"/>
        <v>Sí</v>
      </c>
      <c r="J107" s="5" t="s">
        <v>12</v>
      </c>
    </row>
    <row r="108" spans="1:10" x14ac:dyDescent="0.25">
      <c r="A108" s="7">
        <v>15801658</v>
      </c>
      <c r="B108" s="8" t="s">
        <v>11</v>
      </c>
      <c r="C108" s="9">
        <v>72000</v>
      </c>
      <c r="D108" s="10">
        <v>21</v>
      </c>
      <c r="E108" s="10">
        <v>0</v>
      </c>
      <c r="F108" s="10">
        <f>IF(G108&gt;=Modelo!$B$10,1,0)</f>
        <v>0</v>
      </c>
      <c r="G108" s="11">
        <f>1/(1+EXP(-(Modelo!$B$5+Modelo!$B$6*D108+Modelo!$B$7*C108+Modelo!$B$8*IF(B108="Male",1,0))))</f>
        <v>9.3413248582348684E-3</v>
      </c>
      <c r="H108" s="11">
        <f t="shared" si="2"/>
        <v>0.99065867514176509</v>
      </c>
      <c r="I108" s="10" t="str">
        <f t="shared" si="3"/>
        <v>Sí</v>
      </c>
      <c r="J108" s="10" t="s">
        <v>12</v>
      </c>
    </row>
    <row r="109" spans="1:10" x14ac:dyDescent="0.25">
      <c r="A109" s="2">
        <v>15706185</v>
      </c>
      <c r="B109" s="3" t="s">
        <v>14</v>
      </c>
      <c r="C109" s="4">
        <v>35000</v>
      </c>
      <c r="D109" s="5">
        <v>26</v>
      </c>
      <c r="E109" s="5">
        <v>0</v>
      </c>
      <c r="F109" s="5">
        <f>IF(G109&gt;=Modelo!$B$10,1,0)</f>
        <v>0</v>
      </c>
      <c r="G109" s="6">
        <f>1/(1+EXP(-(Modelo!$B$5+Modelo!$B$6*D109+Modelo!$B$7*C109+Modelo!$B$8*IF(B109="Male",1,0))))</f>
        <v>5.0964392604657188E-3</v>
      </c>
      <c r="H109" s="6">
        <f t="shared" si="2"/>
        <v>0.99490356073953423</v>
      </c>
      <c r="I109" s="5" t="str">
        <f t="shared" si="3"/>
        <v>Sí</v>
      </c>
      <c r="J109" s="5" t="s">
        <v>12</v>
      </c>
    </row>
    <row r="110" spans="1:10" x14ac:dyDescent="0.25">
      <c r="A110" s="7">
        <v>15789863</v>
      </c>
      <c r="B110" s="8" t="s">
        <v>11</v>
      </c>
      <c r="C110" s="9">
        <v>89000</v>
      </c>
      <c r="D110" s="10">
        <v>27</v>
      </c>
      <c r="E110" s="10">
        <v>0</v>
      </c>
      <c r="F110" s="10">
        <f>IF(G110&gt;=Modelo!$B$10,1,0)</f>
        <v>0</v>
      </c>
      <c r="G110" s="11">
        <f>1/(1+EXP(-(Modelo!$B$5+Modelo!$B$6*D110+Modelo!$B$7*C110+Modelo!$B$8*IF(B110="Male",1,0))))</f>
        <v>6.6876575707142796E-2</v>
      </c>
      <c r="H110" s="11">
        <f t="shared" si="2"/>
        <v>0.93312342429285722</v>
      </c>
      <c r="I110" s="10" t="str">
        <f t="shared" si="3"/>
        <v>Sí</v>
      </c>
      <c r="J110" s="10" t="s">
        <v>13</v>
      </c>
    </row>
    <row r="111" spans="1:10" x14ac:dyDescent="0.25">
      <c r="A111" s="2">
        <v>15720943</v>
      </c>
      <c r="B111" s="3" t="s">
        <v>11</v>
      </c>
      <c r="C111" s="4">
        <v>86000</v>
      </c>
      <c r="D111" s="5">
        <v>26</v>
      </c>
      <c r="E111" s="5">
        <v>0</v>
      </c>
      <c r="F111" s="5">
        <f>IF(G111&gt;=Modelo!$B$10,1,0)</f>
        <v>0</v>
      </c>
      <c r="G111" s="6">
        <f>1/(1+EXP(-(Modelo!$B$5+Modelo!$B$6*D111+Modelo!$B$7*C111+Modelo!$B$8*IF(B111="Male",1,0))))</f>
        <v>4.8324819791823841E-2</v>
      </c>
      <c r="H111" s="6">
        <f t="shared" si="2"/>
        <v>0.95167518020817621</v>
      </c>
      <c r="I111" s="5" t="str">
        <f t="shared" si="3"/>
        <v>Sí</v>
      </c>
      <c r="J111" s="5" t="s">
        <v>13</v>
      </c>
    </row>
    <row r="112" spans="1:10" x14ac:dyDescent="0.25">
      <c r="A112" s="7">
        <v>15697997</v>
      </c>
      <c r="B112" s="8" t="s">
        <v>14</v>
      </c>
      <c r="C112" s="9">
        <v>80000</v>
      </c>
      <c r="D112" s="10">
        <v>38</v>
      </c>
      <c r="E112" s="10">
        <v>0</v>
      </c>
      <c r="F112" s="10">
        <f>IF(G112&gt;=Modelo!$B$10,1,0)</f>
        <v>0</v>
      </c>
      <c r="G112" s="11">
        <f>1/(1+EXP(-(Modelo!$B$5+Modelo!$B$6*D112+Modelo!$B$7*C112+Modelo!$B$8*IF(B112="Male",1,0))))</f>
        <v>0.31318345793065994</v>
      </c>
      <c r="H112" s="11">
        <f t="shared" si="2"/>
        <v>0.68681654206934006</v>
      </c>
      <c r="I112" s="10" t="str">
        <f t="shared" si="3"/>
        <v>Sí</v>
      </c>
      <c r="J112" s="10" t="s">
        <v>12</v>
      </c>
    </row>
    <row r="113" spans="1:10" x14ac:dyDescent="0.25">
      <c r="A113" s="2">
        <v>15665416</v>
      </c>
      <c r="B113" s="3" t="s">
        <v>14</v>
      </c>
      <c r="C113" s="4">
        <v>71000</v>
      </c>
      <c r="D113" s="5">
        <v>39</v>
      </c>
      <c r="E113" s="5">
        <v>0</v>
      </c>
      <c r="F113" s="5">
        <f>IF(G113&gt;=Modelo!$B$10,1,0)</f>
        <v>0</v>
      </c>
      <c r="G113" s="6">
        <f>1/(1+EXP(-(Modelo!$B$5+Modelo!$B$6*D113+Modelo!$B$7*C113+Modelo!$B$8*IF(B113="Male",1,0))))</f>
        <v>0.28651862156587127</v>
      </c>
      <c r="H113" s="6">
        <f t="shared" si="2"/>
        <v>0.71348137843412873</v>
      </c>
      <c r="I113" s="5" t="str">
        <f t="shared" si="3"/>
        <v>Sí</v>
      </c>
      <c r="J113" s="5" t="s">
        <v>12</v>
      </c>
    </row>
    <row r="114" spans="1:10" x14ac:dyDescent="0.25">
      <c r="A114" s="7">
        <v>15660200</v>
      </c>
      <c r="B114" s="8" t="s">
        <v>14</v>
      </c>
      <c r="C114" s="9">
        <v>71000</v>
      </c>
      <c r="D114" s="10">
        <v>37</v>
      </c>
      <c r="E114" s="10">
        <v>0</v>
      </c>
      <c r="F114" s="10">
        <f>IF(G114&gt;=Modelo!$B$10,1,0)</f>
        <v>0</v>
      </c>
      <c r="G114" s="11">
        <f>1/(1+EXP(-(Modelo!$B$5+Modelo!$B$6*D114+Modelo!$B$7*C114+Modelo!$B$8*IF(B114="Male",1,0))))</f>
        <v>0.20331544944512667</v>
      </c>
      <c r="H114" s="11">
        <f t="shared" si="2"/>
        <v>0.79668455055487331</v>
      </c>
      <c r="I114" s="10" t="str">
        <f t="shared" si="3"/>
        <v>Sí</v>
      </c>
      <c r="J114" s="10" t="s">
        <v>12</v>
      </c>
    </row>
    <row r="115" spans="1:10" x14ac:dyDescent="0.25">
      <c r="A115" s="2">
        <v>15619653</v>
      </c>
      <c r="B115" s="3" t="s">
        <v>11</v>
      </c>
      <c r="C115" s="4">
        <v>61000</v>
      </c>
      <c r="D115" s="5">
        <v>38</v>
      </c>
      <c r="E115" s="5">
        <v>0</v>
      </c>
      <c r="F115" s="5">
        <f>IF(G115&gt;=Modelo!$B$10,1,0)</f>
        <v>0</v>
      </c>
      <c r="G115" s="6">
        <f>1/(1+EXP(-(Modelo!$B$5+Modelo!$B$6*D115+Modelo!$B$7*C115+Modelo!$B$8*IF(B115="Male",1,0))))</f>
        <v>0.22394391354510071</v>
      </c>
      <c r="H115" s="6">
        <f t="shared" si="2"/>
        <v>0.77605608645489932</v>
      </c>
      <c r="I115" s="5" t="str">
        <f t="shared" si="3"/>
        <v>Sí</v>
      </c>
      <c r="J115" s="5" t="s">
        <v>13</v>
      </c>
    </row>
    <row r="116" spans="1:10" x14ac:dyDescent="0.25">
      <c r="A116" s="7">
        <v>15773447</v>
      </c>
      <c r="B116" s="8" t="s">
        <v>11</v>
      </c>
      <c r="C116" s="9">
        <v>55000</v>
      </c>
      <c r="D116" s="10">
        <v>37</v>
      </c>
      <c r="E116" s="10">
        <v>0</v>
      </c>
      <c r="F116" s="10">
        <f>IF(G116&gt;=Modelo!$B$10,1,0)</f>
        <v>0</v>
      </c>
      <c r="G116" s="11">
        <f>1/(1+EXP(-(Modelo!$B$5+Modelo!$B$6*D116+Modelo!$B$7*C116+Modelo!$B$8*IF(B116="Male",1,0))))</f>
        <v>0.15376975971586651</v>
      </c>
      <c r="H116" s="11">
        <f t="shared" si="2"/>
        <v>0.84623024028413352</v>
      </c>
      <c r="I116" s="10" t="str">
        <f t="shared" si="3"/>
        <v>Sí</v>
      </c>
      <c r="J116" s="10" t="s">
        <v>12</v>
      </c>
    </row>
    <row r="117" spans="1:10" x14ac:dyDescent="0.25">
      <c r="A117" s="2">
        <v>15739160</v>
      </c>
      <c r="B117" s="3" t="s">
        <v>11</v>
      </c>
      <c r="C117" s="4">
        <v>80000</v>
      </c>
      <c r="D117" s="5">
        <v>42</v>
      </c>
      <c r="E117" s="5">
        <v>0</v>
      </c>
      <c r="F117" s="5">
        <f>IF(G117&gt;=Modelo!$B$10,1,0)</f>
        <v>1</v>
      </c>
      <c r="G117" s="6">
        <f>1/(1+EXP(-(Modelo!$B$5+Modelo!$B$6*D117+Modelo!$B$7*C117+Modelo!$B$8*IF(B117="Male",1,0))))</f>
        <v>0.60124793481909566</v>
      </c>
      <c r="H117" s="6">
        <f t="shared" si="2"/>
        <v>0.60124793481909566</v>
      </c>
      <c r="I117" s="5" t="str">
        <f t="shared" si="3"/>
        <v>No</v>
      </c>
      <c r="J117" s="5" t="s">
        <v>12</v>
      </c>
    </row>
    <row r="118" spans="1:10" x14ac:dyDescent="0.25">
      <c r="A118" s="7">
        <v>15689237</v>
      </c>
      <c r="B118" s="8" t="s">
        <v>11</v>
      </c>
      <c r="C118" s="9">
        <v>57000</v>
      </c>
      <c r="D118" s="10">
        <v>40</v>
      </c>
      <c r="E118" s="10">
        <v>0</v>
      </c>
      <c r="F118" s="10">
        <f>IF(G118&gt;=Modelo!$B$10,1,0)</f>
        <v>0</v>
      </c>
      <c r="G118" s="11">
        <f>1/(1+EXP(-(Modelo!$B$5+Modelo!$B$6*D118+Modelo!$B$7*C118+Modelo!$B$8*IF(B118="Male",1,0))))</f>
        <v>0.2795482826912109</v>
      </c>
      <c r="H118" s="11">
        <f t="shared" si="2"/>
        <v>0.7204517173087891</v>
      </c>
      <c r="I118" s="10" t="str">
        <f t="shared" si="3"/>
        <v>Sí</v>
      </c>
      <c r="J118" s="10" t="s">
        <v>12</v>
      </c>
    </row>
    <row r="119" spans="1:10" x14ac:dyDescent="0.25">
      <c r="A119" s="2">
        <v>15679297</v>
      </c>
      <c r="B119" s="3" t="s">
        <v>11</v>
      </c>
      <c r="C119" s="4">
        <v>75000</v>
      </c>
      <c r="D119" s="5">
        <v>35</v>
      </c>
      <c r="E119" s="5">
        <v>0</v>
      </c>
      <c r="F119" s="5">
        <f>IF(G119&gt;=Modelo!$B$10,1,0)</f>
        <v>0</v>
      </c>
      <c r="G119" s="6">
        <f>1/(1+EXP(-(Modelo!$B$5+Modelo!$B$6*D119+Modelo!$B$7*C119+Modelo!$B$8*IF(B119="Male",1,0))))</f>
        <v>0.20220416274569802</v>
      </c>
      <c r="H119" s="6">
        <f t="shared" si="2"/>
        <v>0.79779583725430192</v>
      </c>
      <c r="I119" s="5" t="str">
        <f t="shared" si="3"/>
        <v>Sí</v>
      </c>
      <c r="J119" s="5" t="s">
        <v>12</v>
      </c>
    </row>
    <row r="120" spans="1:10" x14ac:dyDescent="0.25">
      <c r="A120" s="7">
        <v>15591433</v>
      </c>
      <c r="B120" s="8" t="s">
        <v>11</v>
      </c>
      <c r="C120" s="9">
        <v>52000</v>
      </c>
      <c r="D120" s="10">
        <v>36</v>
      </c>
      <c r="E120" s="10">
        <v>0</v>
      </c>
      <c r="F120" s="10">
        <f>IF(G120&gt;=Modelo!$B$10,1,0)</f>
        <v>0</v>
      </c>
      <c r="G120" s="11">
        <f>1/(1+EXP(-(Modelo!$B$5+Modelo!$B$6*D120+Modelo!$B$7*C120+Modelo!$B$8*IF(B120="Male",1,0))))</f>
        <v>0.11405997722486438</v>
      </c>
      <c r="H120" s="11">
        <f t="shared" si="2"/>
        <v>0.88594002277513562</v>
      </c>
      <c r="I120" s="10" t="str">
        <f t="shared" si="3"/>
        <v>Sí</v>
      </c>
      <c r="J120" s="10" t="s">
        <v>12</v>
      </c>
    </row>
    <row r="121" spans="1:10" x14ac:dyDescent="0.25">
      <c r="A121" s="2">
        <v>15642725</v>
      </c>
      <c r="B121" s="3" t="s">
        <v>11</v>
      </c>
      <c r="C121" s="4">
        <v>59000</v>
      </c>
      <c r="D121" s="5">
        <v>40</v>
      </c>
      <c r="E121" s="5">
        <v>0</v>
      </c>
      <c r="F121" s="5">
        <f>IF(G121&gt;=Modelo!$B$10,1,0)</f>
        <v>0</v>
      </c>
      <c r="G121" s="6">
        <f>1/(1+EXP(-(Modelo!$B$5+Modelo!$B$6*D121+Modelo!$B$7*C121+Modelo!$B$8*IF(B121="Male",1,0))))</f>
        <v>0.29565134209623201</v>
      </c>
      <c r="H121" s="6">
        <f t="shared" si="2"/>
        <v>0.70434865790376799</v>
      </c>
      <c r="I121" s="5" t="str">
        <f t="shared" si="3"/>
        <v>Sí</v>
      </c>
      <c r="J121" s="5" t="s">
        <v>12</v>
      </c>
    </row>
    <row r="122" spans="1:10" x14ac:dyDescent="0.25">
      <c r="A122" s="7">
        <v>15701962</v>
      </c>
      <c r="B122" s="8" t="s">
        <v>11</v>
      </c>
      <c r="C122" s="9">
        <v>59000</v>
      </c>
      <c r="D122" s="10">
        <v>41</v>
      </c>
      <c r="E122" s="10">
        <v>0</v>
      </c>
      <c r="F122" s="10">
        <f>IF(G122&gt;=Modelo!$B$10,1,0)</f>
        <v>0</v>
      </c>
      <c r="G122" s="11">
        <f>1/(1+EXP(-(Modelo!$B$5+Modelo!$B$6*D122+Modelo!$B$7*C122+Modelo!$B$8*IF(B122="Male",1,0))))</f>
        <v>0.34492584720278913</v>
      </c>
      <c r="H122" s="11">
        <f t="shared" si="2"/>
        <v>0.65507415279721082</v>
      </c>
      <c r="I122" s="10" t="str">
        <f t="shared" si="3"/>
        <v>Sí</v>
      </c>
      <c r="J122" s="10" t="s">
        <v>13</v>
      </c>
    </row>
    <row r="123" spans="1:10" x14ac:dyDescent="0.25">
      <c r="A123" s="2">
        <v>15811613</v>
      </c>
      <c r="B123" s="3" t="s">
        <v>14</v>
      </c>
      <c r="C123" s="4">
        <v>75000</v>
      </c>
      <c r="D123" s="5">
        <v>36</v>
      </c>
      <c r="E123" s="5">
        <v>0</v>
      </c>
      <c r="F123" s="5">
        <f>IF(G123&gt;=Modelo!$B$10,1,0)</f>
        <v>0</v>
      </c>
      <c r="G123" s="6">
        <f>1/(1+EXP(-(Modelo!$B$5+Modelo!$B$6*D123+Modelo!$B$7*C123+Modelo!$B$8*IF(B123="Male",1,0))))</f>
        <v>0.19229717573593455</v>
      </c>
      <c r="H123" s="6">
        <f t="shared" si="2"/>
        <v>0.80770282426406548</v>
      </c>
      <c r="I123" s="5" t="str">
        <f t="shared" si="3"/>
        <v>Sí</v>
      </c>
      <c r="J123" s="5" t="s">
        <v>12</v>
      </c>
    </row>
    <row r="124" spans="1:10" x14ac:dyDescent="0.25">
      <c r="A124" s="7">
        <v>15741049</v>
      </c>
      <c r="B124" s="8" t="s">
        <v>11</v>
      </c>
      <c r="C124" s="9">
        <v>72000</v>
      </c>
      <c r="D124" s="10">
        <v>37</v>
      </c>
      <c r="E124" s="10">
        <v>0</v>
      </c>
      <c r="F124" s="10">
        <f>IF(G124&gt;=Modelo!$B$10,1,0)</f>
        <v>0</v>
      </c>
      <c r="G124" s="11">
        <f>1/(1+EXP(-(Modelo!$B$5+Modelo!$B$6*D124+Modelo!$B$7*C124+Modelo!$B$8*IF(B124="Male",1,0))))</f>
        <v>0.26170150079820137</v>
      </c>
      <c r="H124" s="11">
        <f t="shared" si="2"/>
        <v>0.73829849920179869</v>
      </c>
      <c r="I124" s="10" t="str">
        <f t="shared" si="3"/>
        <v>Sí</v>
      </c>
      <c r="J124" s="10" t="s">
        <v>12</v>
      </c>
    </row>
    <row r="125" spans="1:10" x14ac:dyDescent="0.25">
      <c r="A125" s="2">
        <v>15724423</v>
      </c>
      <c r="B125" s="3" t="s">
        <v>14</v>
      </c>
      <c r="C125" s="4">
        <v>75000</v>
      </c>
      <c r="D125" s="5">
        <v>40</v>
      </c>
      <c r="E125" s="5">
        <v>0</v>
      </c>
      <c r="F125" s="5">
        <f>IF(G125&gt;=Modelo!$B$10,1,0)</f>
        <v>0</v>
      </c>
      <c r="G125" s="6">
        <f>1/(1+EXP(-(Modelo!$B$5+Modelo!$B$6*D125+Modelo!$B$7*C125+Modelo!$B$8*IF(B125="Male",1,0))))</f>
        <v>0.37087668600773732</v>
      </c>
      <c r="H125" s="6">
        <f t="shared" si="2"/>
        <v>0.62912331399226273</v>
      </c>
      <c r="I125" s="5" t="str">
        <f t="shared" si="3"/>
        <v>Sí</v>
      </c>
      <c r="J125" s="5" t="s">
        <v>13</v>
      </c>
    </row>
    <row r="126" spans="1:10" x14ac:dyDescent="0.25">
      <c r="A126" s="7">
        <v>15574305</v>
      </c>
      <c r="B126" s="8" t="s">
        <v>11</v>
      </c>
      <c r="C126" s="9">
        <v>53000</v>
      </c>
      <c r="D126" s="10">
        <v>35</v>
      </c>
      <c r="E126" s="10">
        <v>0</v>
      </c>
      <c r="F126" s="10">
        <f>IF(G126&gt;=Modelo!$B$10,1,0)</f>
        <v>0</v>
      </c>
      <c r="G126" s="11">
        <f>1/(1+EXP(-(Modelo!$B$5+Modelo!$B$6*D126+Modelo!$B$7*C126+Modelo!$B$8*IF(B126="Male",1,0))))</f>
        <v>9.6451186447534767E-2</v>
      </c>
      <c r="H126" s="11">
        <f t="shared" si="2"/>
        <v>0.90354881355246519</v>
      </c>
      <c r="I126" s="10" t="str">
        <f t="shared" si="3"/>
        <v>Sí</v>
      </c>
      <c r="J126" s="10" t="s">
        <v>13</v>
      </c>
    </row>
    <row r="127" spans="1:10" x14ac:dyDescent="0.25">
      <c r="A127" s="2">
        <v>15678168</v>
      </c>
      <c r="B127" s="3" t="s">
        <v>14</v>
      </c>
      <c r="C127" s="4">
        <v>51000</v>
      </c>
      <c r="D127" s="5">
        <v>41</v>
      </c>
      <c r="E127" s="5">
        <v>0</v>
      </c>
      <c r="F127" s="5">
        <f>IF(G127&gt;=Modelo!$B$10,1,0)</f>
        <v>0</v>
      </c>
      <c r="G127" s="6">
        <f>1/(1+EXP(-(Modelo!$B$5+Modelo!$B$6*D127+Modelo!$B$7*C127+Modelo!$B$8*IF(B127="Male",1,0))))</f>
        <v>0.22354724192785308</v>
      </c>
      <c r="H127" s="6">
        <f t="shared" si="2"/>
        <v>0.77645275807214698</v>
      </c>
      <c r="I127" s="5" t="str">
        <f t="shared" si="3"/>
        <v>Sí</v>
      </c>
      <c r="J127" s="5" t="s">
        <v>12</v>
      </c>
    </row>
    <row r="128" spans="1:10" x14ac:dyDescent="0.25">
      <c r="A128" s="7">
        <v>15697020</v>
      </c>
      <c r="B128" s="8" t="s">
        <v>14</v>
      </c>
      <c r="C128" s="9">
        <v>61000</v>
      </c>
      <c r="D128" s="10">
        <v>39</v>
      </c>
      <c r="E128" s="10">
        <v>0</v>
      </c>
      <c r="F128" s="10">
        <f>IF(G128&gt;=Modelo!$B$10,1,0)</f>
        <v>0</v>
      </c>
      <c r="G128" s="11">
        <f>1/(1+EXP(-(Modelo!$B$5+Modelo!$B$6*D128+Modelo!$B$7*C128+Modelo!$B$8*IF(B128="Male",1,0))))</f>
        <v>0.21325650717523956</v>
      </c>
      <c r="H128" s="11">
        <f t="shared" si="2"/>
        <v>0.78674349282476042</v>
      </c>
      <c r="I128" s="10" t="str">
        <f t="shared" si="3"/>
        <v>Sí</v>
      </c>
      <c r="J128" s="10" t="s">
        <v>12</v>
      </c>
    </row>
    <row r="129" spans="1:10" x14ac:dyDescent="0.25">
      <c r="A129" s="2">
        <v>15610801</v>
      </c>
      <c r="B129" s="3" t="s">
        <v>11</v>
      </c>
      <c r="C129" s="4">
        <v>65000</v>
      </c>
      <c r="D129" s="5">
        <v>42</v>
      </c>
      <c r="E129" s="5">
        <v>0</v>
      </c>
      <c r="F129" s="5">
        <f>IF(G129&gt;=Modelo!$B$10,1,0)</f>
        <v>0</v>
      </c>
      <c r="G129" s="6">
        <f>1/(1+EXP(-(Modelo!$B$5+Modelo!$B$6*D129+Modelo!$B$7*C129+Modelo!$B$8*IF(B129="Male",1,0))))</f>
        <v>0.45539066072437734</v>
      </c>
      <c r="H129" s="6">
        <f t="shared" si="2"/>
        <v>0.54460933927562261</v>
      </c>
      <c r="I129" s="5" t="str">
        <f t="shared" si="3"/>
        <v>Sí</v>
      </c>
      <c r="J129" s="5" t="s">
        <v>13</v>
      </c>
    </row>
    <row r="130" spans="1:10" x14ac:dyDescent="0.25">
      <c r="A130" s="7">
        <v>15745232</v>
      </c>
      <c r="B130" s="8" t="s">
        <v>11</v>
      </c>
      <c r="C130" s="9">
        <v>32000</v>
      </c>
      <c r="D130" s="10">
        <v>26</v>
      </c>
      <c r="E130" s="10">
        <v>0</v>
      </c>
      <c r="F130" s="10">
        <f>IF(G130&gt;=Modelo!$B$10,1,0)</f>
        <v>0</v>
      </c>
      <c r="G130" s="11">
        <f>1/(1+EXP(-(Modelo!$B$5+Modelo!$B$6*D130+Modelo!$B$7*C130+Modelo!$B$8*IF(B130="Male",1,0))))</f>
        <v>6.0431477196944642E-3</v>
      </c>
      <c r="H130" s="11">
        <f t="shared" si="2"/>
        <v>0.9939568522803055</v>
      </c>
      <c r="I130" s="10" t="str">
        <f t="shared" si="3"/>
        <v>Sí</v>
      </c>
      <c r="J130" s="10" t="s">
        <v>13</v>
      </c>
    </row>
    <row r="131" spans="1:10" x14ac:dyDescent="0.25">
      <c r="A131" s="2">
        <v>15722758</v>
      </c>
      <c r="B131" s="3" t="s">
        <v>11</v>
      </c>
      <c r="C131" s="4">
        <v>17000</v>
      </c>
      <c r="D131" s="5">
        <v>30</v>
      </c>
      <c r="E131" s="5">
        <v>0</v>
      </c>
      <c r="F131" s="5">
        <f>IF(G131&gt;=Modelo!$B$10,1,0)</f>
        <v>0</v>
      </c>
      <c r="G131" s="6">
        <f>1/(1+EXP(-(Modelo!$B$5+Modelo!$B$6*D131+Modelo!$B$7*C131+Modelo!$B$8*IF(B131="Male",1,0))))</f>
        <v>8.2795319720453311E-3</v>
      </c>
      <c r="H131" s="6">
        <f t="shared" ref="H131:H194" si="4">MAX(G131,1-G131)</f>
        <v>0.99172046802795466</v>
      </c>
      <c r="I131" s="5" t="str">
        <f t="shared" ref="I131:I194" si="5">IF(F131=E131,"Sí","No")</f>
        <v>Sí</v>
      </c>
      <c r="J131" s="5" t="s">
        <v>12</v>
      </c>
    </row>
    <row r="132" spans="1:10" x14ac:dyDescent="0.25">
      <c r="A132" s="7">
        <v>15792102</v>
      </c>
      <c r="B132" s="8" t="s">
        <v>14</v>
      </c>
      <c r="C132" s="9">
        <v>84000</v>
      </c>
      <c r="D132" s="10">
        <v>26</v>
      </c>
      <c r="E132" s="10">
        <v>0</v>
      </c>
      <c r="F132" s="10">
        <f>IF(G132&gt;=Modelo!$B$10,1,0)</f>
        <v>0</v>
      </c>
      <c r="G132" s="11">
        <f>1/(1+EXP(-(Modelo!$B$5+Modelo!$B$6*D132+Modelo!$B$7*C132+Modelo!$B$8*IF(B132="Male",1,0))))</f>
        <v>3.3956115778468868E-2</v>
      </c>
      <c r="H132" s="11">
        <f t="shared" si="4"/>
        <v>0.96604388422153109</v>
      </c>
      <c r="I132" s="10" t="str">
        <f t="shared" si="5"/>
        <v>Sí</v>
      </c>
      <c r="J132" s="10" t="s">
        <v>12</v>
      </c>
    </row>
    <row r="133" spans="1:10" x14ac:dyDescent="0.25">
      <c r="A133" s="2">
        <v>15675185</v>
      </c>
      <c r="B133" s="3" t="s">
        <v>11</v>
      </c>
      <c r="C133" s="4">
        <v>58000</v>
      </c>
      <c r="D133" s="5">
        <v>31</v>
      </c>
      <c r="E133" s="5">
        <v>0</v>
      </c>
      <c r="F133" s="5">
        <f>IF(G133&gt;=Modelo!$B$10,1,0)</f>
        <v>0</v>
      </c>
      <c r="G133" s="6">
        <f>1/(1+EXP(-(Modelo!$B$5+Modelo!$B$6*D133+Modelo!$B$7*C133+Modelo!$B$8*IF(B133="Male",1,0))))</f>
        <v>4.985665904818469E-2</v>
      </c>
      <c r="H133" s="6">
        <f t="shared" si="4"/>
        <v>0.9501433409518153</v>
      </c>
      <c r="I133" s="5" t="str">
        <f t="shared" si="5"/>
        <v>Sí</v>
      </c>
      <c r="J133" s="5" t="s">
        <v>12</v>
      </c>
    </row>
    <row r="134" spans="1:10" x14ac:dyDescent="0.25">
      <c r="A134" s="7">
        <v>15801247</v>
      </c>
      <c r="B134" s="8" t="s">
        <v>11</v>
      </c>
      <c r="C134" s="9">
        <v>31000</v>
      </c>
      <c r="D134" s="10">
        <v>33</v>
      </c>
      <c r="E134" s="10">
        <v>0</v>
      </c>
      <c r="F134" s="10">
        <f>IF(G134&gt;=Modelo!$B$10,1,0)</f>
        <v>0</v>
      </c>
      <c r="G134" s="11">
        <f>1/(1+EXP(-(Modelo!$B$5+Modelo!$B$6*D134+Modelo!$B$7*C134+Modelo!$B$8*IF(B134="Male",1,0))))</f>
        <v>2.7777491851038841E-2</v>
      </c>
      <c r="H134" s="11">
        <f t="shared" si="4"/>
        <v>0.97222250814896116</v>
      </c>
      <c r="I134" s="10" t="str">
        <f t="shared" si="5"/>
        <v>Sí</v>
      </c>
      <c r="J134" s="10" t="s">
        <v>12</v>
      </c>
    </row>
    <row r="135" spans="1:10" x14ac:dyDescent="0.25">
      <c r="A135" s="2">
        <v>15725660</v>
      </c>
      <c r="B135" s="3" t="s">
        <v>11</v>
      </c>
      <c r="C135" s="4">
        <v>87000</v>
      </c>
      <c r="D135" s="5">
        <v>30</v>
      </c>
      <c r="E135" s="5">
        <v>0</v>
      </c>
      <c r="F135" s="5">
        <f>IF(G135&gt;=Modelo!$B$10,1,0)</f>
        <v>0</v>
      </c>
      <c r="G135" s="6">
        <f>1/(1+EXP(-(Modelo!$B$5+Modelo!$B$6*D135+Modelo!$B$7*C135+Modelo!$B$8*IF(B135="Male",1,0))))</f>
        <v>0.11565061247855883</v>
      </c>
      <c r="H135" s="6">
        <f t="shared" si="4"/>
        <v>0.88434938752144121</v>
      </c>
      <c r="I135" s="5" t="str">
        <f t="shared" si="5"/>
        <v>Sí</v>
      </c>
      <c r="J135" s="5" t="s">
        <v>12</v>
      </c>
    </row>
    <row r="136" spans="1:10" x14ac:dyDescent="0.25">
      <c r="A136" s="7">
        <v>15638963</v>
      </c>
      <c r="B136" s="8" t="s">
        <v>14</v>
      </c>
      <c r="C136" s="9">
        <v>68000</v>
      </c>
      <c r="D136" s="10">
        <v>21</v>
      </c>
      <c r="E136" s="10">
        <v>0</v>
      </c>
      <c r="F136" s="10">
        <f>IF(G136&gt;=Modelo!$B$10,1,0)</f>
        <v>0</v>
      </c>
      <c r="G136" s="11">
        <f>1/(1+EXP(-(Modelo!$B$5+Modelo!$B$6*D136+Modelo!$B$7*C136+Modelo!$B$8*IF(B136="Male",1,0))))</f>
        <v>5.9975148677104094E-3</v>
      </c>
      <c r="H136" s="11">
        <f t="shared" si="4"/>
        <v>0.99400248513228961</v>
      </c>
      <c r="I136" s="10" t="str">
        <f t="shared" si="5"/>
        <v>Sí</v>
      </c>
      <c r="J136" s="10" t="s">
        <v>12</v>
      </c>
    </row>
    <row r="137" spans="1:10" x14ac:dyDescent="0.25">
      <c r="A137" s="2">
        <v>15800061</v>
      </c>
      <c r="B137" s="3" t="s">
        <v>14</v>
      </c>
      <c r="C137" s="4">
        <v>55000</v>
      </c>
      <c r="D137" s="5">
        <v>28</v>
      </c>
      <c r="E137" s="5">
        <v>0</v>
      </c>
      <c r="F137" s="5">
        <f>IF(G137&gt;=Modelo!$B$10,1,0)</f>
        <v>0</v>
      </c>
      <c r="G137" s="6">
        <f>1/(1+EXP(-(Modelo!$B$5+Modelo!$B$6*D137+Modelo!$B$7*C137+Modelo!$B$8*IF(B137="Male",1,0))))</f>
        <v>1.7384329087052598E-2</v>
      </c>
      <c r="H137" s="6">
        <f t="shared" si="4"/>
        <v>0.98261567091294744</v>
      </c>
      <c r="I137" s="5" t="str">
        <f t="shared" si="5"/>
        <v>Sí</v>
      </c>
      <c r="J137" s="5" t="s">
        <v>12</v>
      </c>
    </row>
    <row r="138" spans="1:10" x14ac:dyDescent="0.25">
      <c r="A138" s="7">
        <v>15578006</v>
      </c>
      <c r="B138" s="8" t="s">
        <v>11</v>
      </c>
      <c r="C138" s="9">
        <v>63000</v>
      </c>
      <c r="D138" s="10">
        <v>23</v>
      </c>
      <c r="E138" s="10">
        <v>0</v>
      </c>
      <c r="F138" s="10">
        <f>IF(G138&gt;=Modelo!$B$10,1,0)</f>
        <v>0</v>
      </c>
      <c r="G138" s="11">
        <f>1/(1+EXP(-(Modelo!$B$5+Modelo!$B$6*D138+Modelo!$B$7*C138+Modelo!$B$8*IF(B138="Male",1,0))))</f>
        <v>1.030953481073486E-2</v>
      </c>
      <c r="H138" s="11">
        <f t="shared" si="4"/>
        <v>0.98969046518926518</v>
      </c>
      <c r="I138" s="10" t="str">
        <f t="shared" si="5"/>
        <v>Sí</v>
      </c>
      <c r="J138" s="10" t="s">
        <v>12</v>
      </c>
    </row>
    <row r="139" spans="1:10" x14ac:dyDescent="0.25">
      <c r="A139" s="2">
        <v>15668504</v>
      </c>
      <c r="B139" s="3" t="s">
        <v>14</v>
      </c>
      <c r="C139" s="4">
        <v>82000</v>
      </c>
      <c r="D139" s="5">
        <v>20</v>
      </c>
      <c r="E139" s="5">
        <v>0</v>
      </c>
      <c r="F139" s="5">
        <f>IF(G139&gt;=Modelo!$B$10,1,0)</f>
        <v>0</v>
      </c>
      <c r="G139" s="6">
        <f>1/(1+EXP(-(Modelo!$B$5+Modelo!$B$6*D139+Modelo!$B$7*C139+Modelo!$B$8*IF(B139="Male",1,0))))</f>
        <v>8.270192653776173E-3</v>
      </c>
      <c r="H139" s="6">
        <f t="shared" si="4"/>
        <v>0.99172980734622385</v>
      </c>
      <c r="I139" s="5" t="str">
        <f t="shared" si="5"/>
        <v>Sí</v>
      </c>
      <c r="J139" s="5" t="s">
        <v>13</v>
      </c>
    </row>
    <row r="140" spans="1:10" x14ac:dyDescent="0.25">
      <c r="A140" s="7">
        <v>15687491</v>
      </c>
      <c r="B140" s="8" t="s">
        <v>11</v>
      </c>
      <c r="C140" s="9">
        <v>107000</v>
      </c>
      <c r="D140" s="10">
        <v>30</v>
      </c>
      <c r="E140" s="10">
        <v>1</v>
      </c>
      <c r="F140" s="10">
        <f>IF(G140&gt;=Modelo!$B$10,1,0)</f>
        <v>0</v>
      </c>
      <c r="G140" s="11">
        <f>1/(1+EXP(-(Modelo!$B$5+Modelo!$B$6*D140+Modelo!$B$7*C140+Modelo!$B$8*IF(B140="Male",1,0))))</f>
        <v>0.22301690476398836</v>
      </c>
      <c r="H140" s="11">
        <f t="shared" si="4"/>
        <v>0.77698309523601161</v>
      </c>
      <c r="I140" s="10" t="str">
        <f t="shared" si="5"/>
        <v>No</v>
      </c>
      <c r="J140" s="10" t="s">
        <v>12</v>
      </c>
    </row>
    <row r="141" spans="1:10" x14ac:dyDescent="0.25">
      <c r="A141" s="2">
        <v>15610403</v>
      </c>
      <c r="B141" s="3" t="s">
        <v>14</v>
      </c>
      <c r="C141" s="4">
        <v>59000</v>
      </c>
      <c r="D141" s="5">
        <v>28</v>
      </c>
      <c r="E141" s="5">
        <v>0</v>
      </c>
      <c r="F141" s="5">
        <f>IF(G141&gt;=Modelo!$B$10,1,0)</f>
        <v>0</v>
      </c>
      <c r="G141" s="6">
        <f>1/(1+EXP(-(Modelo!$B$5+Modelo!$B$6*D141+Modelo!$B$7*C141+Modelo!$B$8*IF(B141="Male",1,0))))</f>
        <v>2.0284058508141679E-2</v>
      </c>
      <c r="H141" s="6">
        <f t="shared" si="4"/>
        <v>0.97971594149185837</v>
      </c>
      <c r="I141" s="5" t="str">
        <f t="shared" si="5"/>
        <v>Sí</v>
      </c>
      <c r="J141" s="5" t="s">
        <v>12</v>
      </c>
    </row>
    <row r="142" spans="1:10" x14ac:dyDescent="0.25">
      <c r="A142" s="7">
        <v>15741094</v>
      </c>
      <c r="B142" s="8" t="s">
        <v>11</v>
      </c>
      <c r="C142" s="9">
        <v>25000</v>
      </c>
      <c r="D142" s="10">
        <v>19</v>
      </c>
      <c r="E142" s="10">
        <v>0</v>
      </c>
      <c r="F142" s="10">
        <f>IF(G142&gt;=Modelo!$B$10,1,0)</f>
        <v>0</v>
      </c>
      <c r="G142" s="11">
        <f>1/(1+EXP(-(Modelo!$B$5+Modelo!$B$6*D142+Modelo!$B$7*C142+Modelo!$B$8*IF(B142="Male",1,0))))</f>
        <v>9.4382840493247196E-4</v>
      </c>
      <c r="H142" s="11">
        <f t="shared" si="4"/>
        <v>0.99905617159506754</v>
      </c>
      <c r="I142" s="10" t="str">
        <f t="shared" si="5"/>
        <v>Sí</v>
      </c>
      <c r="J142" s="10" t="s">
        <v>12</v>
      </c>
    </row>
    <row r="143" spans="1:10" x14ac:dyDescent="0.25">
      <c r="A143" s="2">
        <v>15807909</v>
      </c>
      <c r="B143" s="3" t="s">
        <v>11</v>
      </c>
      <c r="C143" s="4">
        <v>85000</v>
      </c>
      <c r="D143" s="5">
        <v>19</v>
      </c>
      <c r="E143" s="5">
        <v>0</v>
      </c>
      <c r="F143" s="5">
        <f>IF(G143&gt;=Modelo!$B$10,1,0)</f>
        <v>0</v>
      </c>
      <c r="G143" s="6">
        <f>1/(1+EXP(-(Modelo!$B$5+Modelo!$B$6*D143+Modelo!$B$7*C143+Modelo!$B$8*IF(B143="Male",1,0))))</f>
        <v>9.8899269588655324E-3</v>
      </c>
      <c r="H143" s="6">
        <f t="shared" si="4"/>
        <v>0.99011007304113452</v>
      </c>
      <c r="I143" s="5" t="str">
        <f t="shared" si="5"/>
        <v>Sí</v>
      </c>
      <c r="J143" s="5" t="s">
        <v>12</v>
      </c>
    </row>
    <row r="144" spans="1:10" x14ac:dyDescent="0.25">
      <c r="A144" s="7">
        <v>15666141</v>
      </c>
      <c r="B144" s="8" t="s">
        <v>14</v>
      </c>
      <c r="C144" s="9">
        <v>68000</v>
      </c>
      <c r="D144" s="10">
        <v>18</v>
      </c>
      <c r="E144" s="10">
        <v>0</v>
      </c>
      <c r="F144" s="10">
        <f>IF(G144&gt;=Modelo!$B$10,1,0)</f>
        <v>0</v>
      </c>
      <c r="G144" s="11">
        <f>1/(1+EXP(-(Modelo!$B$5+Modelo!$B$6*D144+Modelo!$B$7*C144+Modelo!$B$8*IF(B144="Male",1,0))))</f>
        <v>3.0473970118344326E-3</v>
      </c>
      <c r="H144" s="11">
        <f t="shared" si="4"/>
        <v>0.99695260298816557</v>
      </c>
      <c r="I144" s="10" t="str">
        <f t="shared" si="5"/>
        <v>Sí</v>
      </c>
      <c r="J144" s="10" t="s">
        <v>12</v>
      </c>
    </row>
    <row r="145" spans="1:10" x14ac:dyDescent="0.25">
      <c r="A145" s="2">
        <v>15617134</v>
      </c>
      <c r="B145" s="3" t="s">
        <v>11</v>
      </c>
      <c r="C145" s="4">
        <v>59000</v>
      </c>
      <c r="D145" s="5">
        <v>35</v>
      </c>
      <c r="E145" s="5">
        <v>0</v>
      </c>
      <c r="F145" s="5">
        <f>IF(G145&gt;=Modelo!$B$10,1,0)</f>
        <v>0</v>
      </c>
      <c r="G145" s="6">
        <f>1/(1+EXP(-(Modelo!$B$5+Modelo!$B$6*D145+Modelo!$B$7*C145+Modelo!$B$8*IF(B145="Male",1,0))))</f>
        <v>0.1190496284324007</v>
      </c>
      <c r="H145" s="6">
        <f t="shared" si="4"/>
        <v>0.88095037156759926</v>
      </c>
      <c r="I145" s="5" t="str">
        <f t="shared" si="5"/>
        <v>Sí</v>
      </c>
      <c r="J145" s="5" t="s">
        <v>13</v>
      </c>
    </row>
    <row r="146" spans="1:10" x14ac:dyDescent="0.25">
      <c r="A146" s="7">
        <v>15783029</v>
      </c>
      <c r="B146" s="8" t="s">
        <v>11</v>
      </c>
      <c r="C146" s="9">
        <v>89000</v>
      </c>
      <c r="D146" s="10">
        <v>30</v>
      </c>
      <c r="E146" s="10">
        <v>0</v>
      </c>
      <c r="F146" s="10">
        <f>IF(G146&gt;=Modelo!$B$10,1,0)</f>
        <v>0</v>
      </c>
      <c r="G146" s="11">
        <f>1/(1+EXP(-(Modelo!$B$5+Modelo!$B$6*D146+Modelo!$B$7*C146+Modelo!$B$8*IF(B146="Male",1,0))))</f>
        <v>0.12393665810053753</v>
      </c>
      <c r="H146" s="11">
        <f t="shared" si="4"/>
        <v>0.87606334189946244</v>
      </c>
      <c r="I146" s="10" t="str">
        <f t="shared" si="5"/>
        <v>Sí</v>
      </c>
      <c r="J146" s="10" t="s">
        <v>12</v>
      </c>
    </row>
    <row r="147" spans="1:10" x14ac:dyDescent="0.25">
      <c r="A147" s="2">
        <v>15622833</v>
      </c>
      <c r="B147" s="3" t="s">
        <v>14</v>
      </c>
      <c r="C147" s="4">
        <v>25000</v>
      </c>
      <c r="D147" s="5">
        <v>34</v>
      </c>
      <c r="E147" s="5">
        <v>0</v>
      </c>
      <c r="F147" s="5">
        <f>IF(G147&gt;=Modelo!$B$10,1,0)</f>
        <v>0</v>
      </c>
      <c r="G147" s="6">
        <f>1/(1+EXP(-(Modelo!$B$5+Modelo!$B$6*D147+Modelo!$B$7*C147+Modelo!$B$8*IF(B147="Male",1,0))))</f>
        <v>2.0759601417301723E-2</v>
      </c>
      <c r="H147" s="6">
        <f t="shared" si="4"/>
        <v>0.97924039858269829</v>
      </c>
      <c r="I147" s="5" t="str">
        <f t="shared" si="5"/>
        <v>Sí</v>
      </c>
      <c r="J147" s="5" t="s">
        <v>12</v>
      </c>
    </row>
    <row r="148" spans="1:10" x14ac:dyDescent="0.25">
      <c r="A148" s="7">
        <v>15746422</v>
      </c>
      <c r="B148" s="8" t="s">
        <v>14</v>
      </c>
      <c r="C148" s="9">
        <v>89000</v>
      </c>
      <c r="D148" s="10">
        <v>24</v>
      </c>
      <c r="E148" s="10">
        <v>0</v>
      </c>
      <c r="F148" s="10">
        <f>IF(G148&gt;=Modelo!$B$10,1,0)</f>
        <v>0</v>
      </c>
      <c r="G148" s="11">
        <f>1/(1+EXP(-(Modelo!$B$5+Modelo!$B$6*D148+Modelo!$B$7*C148+Modelo!$B$8*IF(B148="Male",1,0))))</f>
        <v>2.6468864466580547E-2</v>
      </c>
      <c r="H148" s="11">
        <f t="shared" si="4"/>
        <v>0.97353113553341941</v>
      </c>
      <c r="I148" s="10" t="str">
        <f t="shared" si="5"/>
        <v>Sí</v>
      </c>
      <c r="J148" s="10" t="s">
        <v>12</v>
      </c>
    </row>
    <row r="149" spans="1:10" x14ac:dyDescent="0.25">
      <c r="A149" s="2">
        <v>15750839</v>
      </c>
      <c r="B149" s="3" t="s">
        <v>14</v>
      </c>
      <c r="C149" s="4">
        <v>96000</v>
      </c>
      <c r="D149" s="5">
        <v>27</v>
      </c>
      <c r="E149" s="5">
        <v>1</v>
      </c>
      <c r="F149" s="5">
        <f>IF(G149&gt;=Modelo!$B$10,1,0)</f>
        <v>0</v>
      </c>
      <c r="G149" s="6">
        <f>1/(1+EXP(-(Modelo!$B$5+Modelo!$B$6*D149+Modelo!$B$7*C149+Modelo!$B$8*IF(B149="Male",1,0))))</f>
        <v>6.6001206098873319E-2</v>
      </c>
      <c r="H149" s="6">
        <f t="shared" si="4"/>
        <v>0.93399879390112672</v>
      </c>
      <c r="I149" s="5" t="str">
        <f t="shared" si="5"/>
        <v>No</v>
      </c>
      <c r="J149" s="5" t="s">
        <v>12</v>
      </c>
    </row>
    <row r="150" spans="1:10" x14ac:dyDescent="0.25">
      <c r="A150" s="7">
        <v>15749130</v>
      </c>
      <c r="B150" s="8" t="s">
        <v>14</v>
      </c>
      <c r="C150" s="9">
        <v>30000</v>
      </c>
      <c r="D150" s="10">
        <v>41</v>
      </c>
      <c r="E150" s="10">
        <v>0</v>
      </c>
      <c r="F150" s="10">
        <f>IF(G150&gt;=Modelo!$B$10,1,0)</f>
        <v>0</v>
      </c>
      <c r="G150" s="11">
        <f>1/(1+EXP(-(Modelo!$B$5+Modelo!$B$6*D150+Modelo!$B$7*C150+Modelo!$B$8*IF(B150="Male",1,0))))</f>
        <v>0.11199472337523438</v>
      </c>
      <c r="H150" s="11">
        <f t="shared" si="4"/>
        <v>0.88800527662476558</v>
      </c>
      <c r="I150" s="10" t="str">
        <f t="shared" si="5"/>
        <v>Sí</v>
      </c>
      <c r="J150" s="10" t="s">
        <v>12</v>
      </c>
    </row>
    <row r="151" spans="1:10" x14ac:dyDescent="0.25">
      <c r="A151" s="2">
        <v>15779862</v>
      </c>
      <c r="B151" s="3" t="s">
        <v>11</v>
      </c>
      <c r="C151" s="4">
        <v>61000</v>
      </c>
      <c r="D151" s="5">
        <v>29</v>
      </c>
      <c r="E151" s="5">
        <v>0</v>
      </c>
      <c r="F151" s="5">
        <f>IF(G151&gt;=Modelo!$B$10,1,0)</f>
        <v>0</v>
      </c>
      <c r="G151" s="6">
        <f>1/(1+EXP(-(Modelo!$B$5+Modelo!$B$6*D151+Modelo!$B$7*C151+Modelo!$B$8*IF(B151="Male",1,0))))</f>
        <v>3.616278209241465E-2</v>
      </c>
      <c r="H151" s="6">
        <f t="shared" si="4"/>
        <v>0.96383721790758536</v>
      </c>
      <c r="I151" s="5" t="str">
        <f t="shared" si="5"/>
        <v>Sí</v>
      </c>
      <c r="J151" s="5" t="s">
        <v>12</v>
      </c>
    </row>
    <row r="152" spans="1:10" x14ac:dyDescent="0.25">
      <c r="A152" s="7">
        <v>15767871</v>
      </c>
      <c r="B152" s="8" t="s">
        <v>11</v>
      </c>
      <c r="C152" s="9">
        <v>74000</v>
      </c>
      <c r="D152" s="10">
        <v>20</v>
      </c>
      <c r="E152" s="10">
        <v>0</v>
      </c>
      <c r="F152" s="10">
        <f>IF(G152&gt;=Modelo!$B$10,1,0)</f>
        <v>0</v>
      </c>
      <c r="G152" s="11">
        <f>1/(1+EXP(-(Modelo!$B$5+Modelo!$B$6*D152+Modelo!$B$7*C152+Modelo!$B$8*IF(B152="Male",1,0))))</f>
        <v>8.066112208800897E-3</v>
      </c>
      <c r="H152" s="11">
        <f t="shared" si="4"/>
        <v>0.99193388779119906</v>
      </c>
      <c r="I152" s="10" t="str">
        <f t="shared" si="5"/>
        <v>Sí</v>
      </c>
      <c r="J152" s="10" t="s">
        <v>12</v>
      </c>
    </row>
    <row r="153" spans="1:10" x14ac:dyDescent="0.25">
      <c r="A153" s="2">
        <v>15679651</v>
      </c>
      <c r="B153" s="3" t="s">
        <v>14</v>
      </c>
      <c r="C153" s="4">
        <v>15000</v>
      </c>
      <c r="D153" s="5">
        <v>26</v>
      </c>
      <c r="E153" s="5">
        <v>0</v>
      </c>
      <c r="F153" s="5">
        <f>IF(G153&gt;=Modelo!$B$10,1,0)</f>
        <v>0</v>
      </c>
      <c r="G153" s="6">
        <f>1/(1+EXP(-(Modelo!$B$5+Modelo!$B$6*D153+Modelo!$B$7*C153+Modelo!$B$8*IF(B153="Male",1,0))))</f>
        <v>2.3284734421449649E-3</v>
      </c>
      <c r="H153" s="6">
        <f t="shared" si="4"/>
        <v>0.99767152655785507</v>
      </c>
      <c r="I153" s="5" t="str">
        <f t="shared" si="5"/>
        <v>Sí</v>
      </c>
      <c r="J153" s="5" t="s">
        <v>12</v>
      </c>
    </row>
    <row r="154" spans="1:10" x14ac:dyDescent="0.25">
      <c r="A154" s="7">
        <v>15576219</v>
      </c>
      <c r="B154" s="8" t="s">
        <v>11</v>
      </c>
      <c r="C154" s="9">
        <v>45000</v>
      </c>
      <c r="D154" s="10">
        <v>41</v>
      </c>
      <c r="E154" s="10">
        <v>0</v>
      </c>
      <c r="F154" s="10">
        <f>IF(G154&gt;=Modelo!$B$10,1,0)</f>
        <v>0</v>
      </c>
      <c r="G154" s="11">
        <f>1/(1+EXP(-(Modelo!$B$5+Modelo!$B$6*D154+Modelo!$B$7*C154+Modelo!$B$8*IF(B154="Male",1,0))))</f>
        <v>0.23295605883157242</v>
      </c>
      <c r="H154" s="11">
        <f t="shared" si="4"/>
        <v>0.76704394116842756</v>
      </c>
      <c r="I154" s="10" t="str">
        <f t="shared" si="5"/>
        <v>Sí</v>
      </c>
      <c r="J154" s="10" t="s">
        <v>13</v>
      </c>
    </row>
    <row r="155" spans="1:10" x14ac:dyDescent="0.25">
      <c r="A155" s="2">
        <v>15699247</v>
      </c>
      <c r="B155" s="3" t="s">
        <v>11</v>
      </c>
      <c r="C155" s="4">
        <v>76000</v>
      </c>
      <c r="D155" s="5">
        <v>31</v>
      </c>
      <c r="E155" s="5">
        <v>0</v>
      </c>
      <c r="F155" s="5">
        <f>IF(G155&gt;=Modelo!$B$10,1,0)</f>
        <v>0</v>
      </c>
      <c r="G155" s="6">
        <f>1/(1+EXP(-(Modelo!$B$5+Modelo!$B$6*D155+Modelo!$B$7*C155+Modelo!$B$8*IF(B155="Male",1,0))))</f>
        <v>9.6218670065612702E-2</v>
      </c>
      <c r="H155" s="6">
        <f t="shared" si="4"/>
        <v>0.90378132993438731</v>
      </c>
      <c r="I155" s="5" t="str">
        <f t="shared" si="5"/>
        <v>Sí</v>
      </c>
      <c r="J155" s="5" t="s">
        <v>13</v>
      </c>
    </row>
    <row r="156" spans="1:10" x14ac:dyDescent="0.25">
      <c r="A156" s="7">
        <v>15619087</v>
      </c>
      <c r="B156" s="8" t="s">
        <v>14</v>
      </c>
      <c r="C156" s="9">
        <v>50000</v>
      </c>
      <c r="D156" s="10">
        <v>36</v>
      </c>
      <c r="E156" s="10">
        <v>0</v>
      </c>
      <c r="F156" s="10">
        <f>IF(G156&gt;=Modelo!$B$10,1,0)</f>
        <v>0</v>
      </c>
      <c r="G156" s="11">
        <f>1/(1+EXP(-(Modelo!$B$5+Modelo!$B$6*D156+Modelo!$B$7*C156+Modelo!$B$8*IF(B156="Male",1,0))))</f>
        <v>8.1826394106203931E-2</v>
      </c>
      <c r="H156" s="11">
        <f t="shared" si="4"/>
        <v>0.91817360589379604</v>
      </c>
      <c r="I156" s="10" t="str">
        <f t="shared" si="5"/>
        <v>Sí</v>
      </c>
      <c r="J156" s="10" t="s">
        <v>12</v>
      </c>
    </row>
    <row r="157" spans="1:10" x14ac:dyDescent="0.25">
      <c r="A157" s="2">
        <v>15605327</v>
      </c>
      <c r="B157" s="3" t="s">
        <v>11</v>
      </c>
      <c r="C157" s="4">
        <v>47000</v>
      </c>
      <c r="D157" s="5">
        <v>40</v>
      </c>
      <c r="E157" s="5">
        <v>0</v>
      </c>
      <c r="F157" s="5">
        <f>IF(G157&gt;=Modelo!$B$10,1,0)</f>
        <v>0</v>
      </c>
      <c r="G157" s="6">
        <f>1/(1+EXP(-(Modelo!$B$5+Modelo!$B$6*D157+Modelo!$B$7*C157+Modelo!$B$8*IF(B157="Male",1,0))))</f>
        <v>0.20755000062938606</v>
      </c>
      <c r="H157" s="6">
        <f t="shared" si="4"/>
        <v>0.792449999370614</v>
      </c>
      <c r="I157" s="5" t="str">
        <f t="shared" si="5"/>
        <v>Sí</v>
      </c>
      <c r="J157" s="5" t="s">
        <v>12</v>
      </c>
    </row>
    <row r="158" spans="1:10" x14ac:dyDescent="0.25">
      <c r="A158" s="7">
        <v>15610140</v>
      </c>
      <c r="B158" s="8" t="s">
        <v>14</v>
      </c>
      <c r="C158" s="9">
        <v>15000</v>
      </c>
      <c r="D158" s="10">
        <v>31</v>
      </c>
      <c r="E158" s="10">
        <v>0</v>
      </c>
      <c r="F158" s="10">
        <f>IF(G158&gt;=Modelo!$B$10,1,0)</f>
        <v>0</v>
      </c>
      <c r="G158" s="11">
        <f>1/(1+EXP(-(Modelo!$B$5+Modelo!$B$6*D158+Modelo!$B$7*C158+Modelo!$B$8*IF(B158="Male",1,0))))</f>
        <v>7.1971785362514541E-3</v>
      </c>
      <c r="H158" s="11">
        <f t="shared" si="4"/>
        <v>0.99280282146374854</v>
      </c>
      <c r="I158" s="10" t="str">
        <f t="shared" si="5"/>
        <v>Sí</v>
      </c>
      <c r="J158" s="10" t="s">
        <v>12</v>
      </c>
    </row>
    <row r="159" spans="1:10" x14ac:dyDescent="0.25">
      <c r="A159" s="2">
        <v>15791174</v>
      </c>
      <c r="B159" s="3" t="s">
        <v>11</v>
      </c>
      <c r="C159" s="4">
        <v>59000</v>
      </c>
      <c r="D159" s="5">
        <v>46</v>
      </c>
      <c r="E159" s="5">
        <v>0</v>
      </c>
      <c r="F159" s="5">
        <f>IF(G159&gt;=Modelo!$B$10,1,0)</f>
        <v>1</v>
      </c>
      <c r="G159" s="6">
        <f>1/(1+EXP(-(Modelo!$B$5+Modelo!$B$6*D159+Modelo!$B$7*C159+Modelo!$B$8*IF(B159="Male",1,0))))</f>
        <v>0.62056551461195675</v>
      </c>
      <c r="H159" s="6">
        <f t="shared" si="4"/>
        <v>0.62056551461195675</v>
      </c>
      <c r="I159" s="5" t="str">
        <f t="shared" si="5"/>
        <v>No</v>
      </c>
      <c r="J159" s="5" t="s">
        <v>12</v>
      </c>
    </row>
    <row r="160" spans="1:10" x14ac:dyDescent="0.25">
      <c r="A160" s="7">
        <v>15602373</v>
      </c>
      <c r="B160" s="8" t="s">
        <v>11</v>
      </c>
      <c r="C160" s="9">
        <v>75000</v>
      </c>
      <c r="D160" s="10">
        <v>29</v>
      </c>
      <c r="E160" s="10">
        <v>0</v>
      </c>
      <c r="F160" s="10">
        <f>IF(G160&gt;=Modelo!$B$10,1,0)</f>
        <v>0</v>
      </c>
      <c r="G160" s="11">
        <f>1/(1+EXP(-(Modelo!$B$5+Modelo!$B$6*D160+Modelo!$B$7*C160+Modelo!$B$8*IF(B160="Male",1,0))))</f>
        <v>6.107593469102883E-2</v>
      </c>
      <c r="H160" s="11">
        <f t="shared" si="4"/>
        <v>0.93892406530897121</v>
      </c>
      <c r="I160" s="10" t="str">
        <f t="shared" si="5"/>
        <v>Sí</v>
      </c>
      <c r="J160" s="10" t="s">
        <v>12</v>
      </c>
    </row>
    <row r="161" spans="1:10" x14ac:dyDescent="0.25">
      <c r="A161" s="2">
        <v>15762605</v>
      </c>
      <c r="B161" s="3" t="s">
        <v>11</v>
      </c>
      <c r="C161" s="4">
        <v>30000</v>
      </c>
      <c r="D161" s="5">
        <v>26</v>
      </c>
      <c r="E161" s="5">
        <v>0</v>
      </c>
      <c r="F161" s="5">
        <f>IF(G161&gt;=Modelo!$B$10,1,0)</f>
        <v>0</v>
      </c>
      <c r="G161" s="6">
        <f>1/(1+EXP(-(Modelo!$B$5+Modelo!$B$6*D161+Modelo!$B$7*C161+Modelo!$B$8*IF(B161="Male",1,0))))</f>
        <v>5.5888371294512979E-3</v>
      </c>
      <c r="H161" s="6">
        <f t="shared" si="4"/>
        <v>0.99441116287054865</v>
      </c>
      <c r="I161" s="5" t="str">
        <f t="shared" si="5"/>
        <v>Sí</v>
      </c>
      <c r="J161" s="5" t="s">
        <v>12</v>
      </c>
    </row>
    <row r="162" spans="1:10" x14ac:dyDescent="0.25">
      <c r="A162" s="7">
        <v>15598840</v>
      </c>
      <c r="B162" s="8" t="s">
        <v>14</v>
      </c>
      <c r="C162" s="9">
        <v>135000</v>
      </c>
      <c r="D162" s="10">
        <v>32</v>
      </c>
      <c r="E162" s="10">
        <v>1</v>
      </c>
      <c r="F162" s="10">
        <f>IF(G162&gt;=Modelo!$B$10,1,0)</f>
        <v>1</v>
      </c>
      <c r="G162" s="11">
        <f>1/(1+EXP(-(Modelo!$B$5+Modelo!$B$6*D162+Modelo!$B$7*C162+Modelo!$B$8*IF(B162="Male",1,0))))</f>
        <v>0.504118842044463</v>
      </c>
      <c r="H162" s="11">
        <f t="shared" si="4"/>
        <v>0.504118842044463</v>
      </c>
      <c r="I162" s="10" t="str">
        <f t="shared" si="5"/>
        <v>Sí</v>
      </c>
      <c r="J162" s="10" t="s">
        <v>12</v>
      </c>
    </row>
    <row r="163" spans="1:10" x14ac:dyDescent="0.25">
      <c r="A163" s="2">
        <v>15744279</v>
      </c>
      <c r="B163" s="3" t="s">
        <v>11</v>
      </c>
      <c r="C163" s="4">
        <v>100000</v>
      </c>
      <c r="D163" s="5">
        <v>32</v>
      </c>
      <c r="E163" s="5">
        <v>1</v>
      </c>
      <c r="F163" s="5">
        <f>IF(G163&gt;=Modelo!$B$10,1,0)</f>
        <v>0</v>
      </c>
      <c r="G163" s="6">
        <f>1/(1+EXP(-(Modelo!$B$5+Modelo!$B$6*D163+Modelo!$B$7*C163+Modelo!$B$8*IF(B163="Male",1,0))))</f>
        <v>0.25541043192247714</v>
      </c>
      <c r="H163" s="6">
        <f t="shared" si="4"/>
        <v>0.74458956807752286</v>
      </c>
      <c r="I163" s="5" t="str">
        <f t="shared" si="5"/>
        <v>No</v>
      </c>
      <c r="J163" s="5" t="s">
        <v>12</v>
      </c>
    </row>
    <row r="164" spans="1:10" x14ac:dyDescent="0.25">
      <c r="A164" s="7">
        <v>15670619</v>
      </c>
      <c r="B164" s="8" t="s">
        <v>11</v>
      </c>
      <c r="C164" s="9">
        <v>90000</v>
      </c>
      <c r="D164" s="10">
        <v>25</v>
      </c>
      <c r="E164" s="10">
        <v>0</v>
      </c>
      <c r="F164" s="10">
        <f>IF(G164&gt;=Modelo!$B$10,1,0)</f>
        <v>0</v>
      </c>
      <c r="G164" s="11">
        <f>1/(1+EXP(-(Modelo!$B$5+Modelo!$B$6*D164+Modelo!$B$7*C164+Modelo!$B$8*IF(B164="Male",1,0))))</f>
        <v>4.5229104665377197E-2</v>
      </c>
      <c r="H164" s="11">
        <f t="shared" si="4"/>
        <v>0.95477089533462278</v>
      </c>
      <c r="I164" s="10" t="str">
        <f t="shared" si="5"/>
        <v>Sí</v>
      </c>
      <c r="J164" s="10" t="s">
        <v>12</v>
      </c>
    </row>
    <row r="165" spans="1:10" x14ac:dyDescent="0.25">
      <c r="A165" s="2">
        <v>15599533</v>
      </c>
      <c r="B165" s="3" t="s">
        <v>14</v>
      </c>
      <c r="C165" s="4">
        <v>33000</v>
      </c>
      <c r="D165" s="5">
        <v>37</v>
      </c>
      <c r="E165" s="5">
        <v>0</v>
      </c>
      <c r="F165" s="5">
        <f>IF(G165&gt;=Modelo!$B$10,1,0)</f>
        <v>0</v>
      </c>
      <c r="G165" s="6">
        <f>1/(1+EXP(-(Modelo!$B$5+Modelo!$B$6*D165+Modelo!$B$7*C165+Modelo!$B$8*IF(B165="Male",1,0))))</f>
        <v>5.4202350356194022E-2</v>
      </c>
      <c r="H165" s="6">
        <f t="shared" si="4"/>
        <v>0.94579764964380597</v>
      </c>
      <c r="I165" s="5" t="str">
        <f t="shared" si="5"/>
        <v>Sí</v>
      </c>
      <c r="J165" s="5" t="s">
        <v>12</v>
      </c>
    </row>
    <row r="166" spans="1:10" x14ac:dyDescent="0.25">
      <c r="A166" s="7">
        <v>15757837</v>
      </c>
      <c r="B166" s="8" t="s">
        <v>11</v>
      </c>
      <c r="C166" s="9">
        <v>38000</v>
      </c>
      <c r="D166" s="10">
        <v>35</v>
      </c>
      <c r="E166" s="10">
        <v>0</v>
      </c>
      <c r="F166" s="10">
        <f>IF(G166&gt;=Modelo!$B$10,1,0)</f>
        <v>0</v>
      </c>
      <c r="G166" s="11">
        <f>1/(1+EXP(-(Modelo!$B$5+Modelo!$B$6*D166+Modelo!$B$7*C166+Modelo!$B$8*IF(B166="Male",1,0))))</f>
        <v>5.5889128276300597E-2</v>
      </c>
      <c r="H166" s="11">
        <f t="shared" si="4"/>
        <v>0.94411087172369945</v>
      </c>
      <c r="I166" s="10" t="str">
        <f t="shared" si="5"/>
        <v>Sí</v>
      </c>
      <c r="J166" s="10" t="s">
        <v>12</v>
      </c>
    </row>
    <row r="167" spans="1:10" x14ac:dyDescent="0.25">
      <c r="A167" s="2">
        <v>15697574</v>
      </c>
      <c r="B167" s="3" t="s">
        <v>14</v>
      </c>
      <c r="C167" s="4">
        <v>69000</v>
      </c>
      <c r="D167" s="5">
        <v>33</v>
      </c>
      <c r="E167" s="5">
        <v>0</v>
      </c>
      <c r="F167" s="5">
        <f>IF(G167&gt;=Modelo!$B$10,1,0)</f>
        <v>0</v>
      </c>
      <c r="G167" s="6">
        <f>1/(1+EXP(-(Modelo!$B$5+Modelo!$B$6*D167+Modelo!$B$7*C167+Modelo!$B$8*IF(B167="Male",1,0))))</f>
        <v>8.6985889657657883E-2</v>
      </c>
      <c r="H167" s="6">
        <f t="shared" si="4"/>
        <v>0.91301411034234214</v>
      </c>
      <c r="I167" s="5" t="str">
        <f t="shared" si="5"/>
        <v>Sí</v>
      </c>
      <c r="J167" s="5" t="s">
        <v>12</v>
      </c>
    </row>
    <row r="168" spans="1:10" x14ac:dyDescent="0.25">
      <c r="A168" s="7">
        <v>15578738</v>
      </c>
      <c r="B168" s="8" t="s">
        <v>14</v>
      </c>
      <c r="C168" s="9">
        <v>86000</v>
      </c>
      <c r="D168" s="10">
        <v>18</v>
      </c>
      <c r="E168" s="10">
        <v>0</v>
      </c>
      <c r="F168" s="10">
        <f>IF(G168&gt;=Modelo!$B$10,1,0)</f>
        <v>0</v>
      </c>
      <c r="G168" s="11">
        <f>1/(1+EXP(-(Modelo!$B$5+Modelo!$B$6*D168+Modelo!$B$7*C168+Modelo!$B$8*IF(B168="Male",1,0))))</f>
        <v>6.1635565425023717E-3</v>
      </c>
      <c r="H168" s="11">
        <f t="shared" si="4"/>
        <v>0.99383644345749766</v>
      </c>
      <c r="I168" s="10" t="str">
        <f t="shared" si="5"/>
        <v>Sí</v>
      </c>
      <c r="J168" s="10" t="s">
        <v>12</v>
      </c>
    </row>
    <row r="169" spans="1:10" x14ac:dyDescent="0.25">
      <c r="A169" s="2">
        <v>15762228</v>
      </c>
      <c r="B169" s="3" t="s">
        <v>14</v>
      </c>
      <c r="C169" s="4">
        <v>55000</v>
      </c>
      <c r="D169" s="5">
        <v>22</v>
      </c>
      <c r="E169" s="5">
        <v>0</v>
      </c>
      <c r="F169" s="5">
        <f>IF(G169&gt;=Modelo!$B$10,1,0)</f>
        <v>0</v>
      </c>
      <c r="G169" s="6">
        <f>1/(1+EXP(-(Modelo!$B$5+Modelo!$B$6*D169+Modelo!$B$7*C169+Modelo!$B$8*IF(B169="Male",1,0))))</f>
        <v>4.5201002739482972E-3</v>
      </c>
      <c r="H169" s="6">
        <f t="shared" si="4"/>
        <v>0.99547989972605166</v>
      </c>
      <c r="I169" s="5" t="str">
        <f t="shared" si="5"/>
        <v>Sí</v>
      </c>
      <c r="J169" s="5" t="s">
        <v>12</v>
      </c>
    </row>
    <row r="170" spans="1:10" x14ac:dyDescent="0.25">
      <c r="A170" s="7">
        <v>15614827</v>
      </c>
      <c r="B170" s="8" t="s">
        <v>14</v>
      </c>
      <c r="C170" s="9">
        <v>71000</v>
      </c>
      <c r="D170" s="10">
        <v>35</v>
      </c>
      <c r="E170" s="10">
        <v>0</v>
      </c>
      <c r="F170" s="10">
        <f>IF(G170&gt;=Modelo!$B$10,1,0)</f>
        <v>0</v>
      </c>
      <c r="G170" s="11">
        <f>1/(1+EXP(-(Modelo!$B$5+Modelo!$B$6*D170+Modelo!$B$7*C170+Modelo!$B$8*IF(B170="Male",1,0))))</f>
        <v>0.13954821910357995</v>
      </c>
      <c r="H170" s="11">
        <f t="shared" si="4"/>
        <v>0.86045178089642005</v>
      </c>
      <c r="I170" s="10" t="str">
        <f t="shared" si="5"/>
        <v>Sí</v>
      </c>
      <c r="J170" s="10" t="s">
        <v>12</v>
      </c>
    </row>
    <row r="171" spans="1:10" x14ac:dyDescent="0.25">
      <c r="A171" s="2">
        <v>15789815</v>
      </c>
      <c r="B171" s="3" t="s">
        <v>11</v>
      </c>
      <c r="C171" s="4">
        <v>148000</v>
      </c>
      <c r="D171" s="5">
        <v>29</v>
      </c>
      <c r="E171" s="5">
        <v>1</v>
      </c>
      <c r="F171" s="5">
        <f>IF(G171&gt;=Modelo!$B$10,1,0)</f>
        <v>1</v>
      </c>
      <c r="G171" s="6">
        <f>1/(1+EXP(-(Modelo!$B$5+Modelo!$B$6*D171+Modelo!$B$7*C171+Modelo!$B$8*IF(B171="Male",1,0))))</f>
        <v>0.53411584504126508</v>
      </c>
      <c r="H171" s="6">
        <f t="shared" si="4"/>
        <v>0.53411584504126508</v>
      </c>
      <c r="I171" s="5" t="str">
        <f t="shared" si="5"/>
        <v>Sí</v>
      </c>
      <c r="J171" s="5" t="s">
        <v>12</v>
      </c>
    </row>
    <row r="172" spans="1:10" x14ac:dyDescent="0.25">
      <c r="A172" s="7">
        <v>15579781</v>
      </c>
      <c r="B172" s="8" t="s">
        <v>14</v>
      </c>
      <c r="C172" s="9">
        <v>47000</v>
      </c>
      <c r="D172" s="10">
        <v>29</v>
      </c>
      <c r="E172" s="10">
        <v>0</v>
      </c>
      <c r="F172" s="10">
        <f>IF(G172&gt;=Modelo!$B$10,1,0)</f>
        <v>0</v>
      </c>
      <c r="G172" s="11">
        <f>1/(1+EXP(-(Modelo!$B$5+Modelo!$B$6*D172+Modelo!$B$7*C172+Modelo!$B$8*IF(B172="Male",1,0))))</f>
        <v>1.5946855247558522E-2</v>
      </c>
      <c r="H172" s="11">
        <f t="shared" si="4"/>
        <v>0.98405314475244143</v>
      </c>
      <c r="I172" s="10" t="str">
        <f t="shared" si="5"/>
        <v>Sí</v>
      </c>
      <c r="J172" s="10" t="s">
        <v>12</v>
      </c>
    </row>
    <row r="173" spans="1:10" x14ac:dyDescent="0.25">
      <c r="A173" s="2">
        <v>15587013</v>
      </c>
      <c r="B173" s="3" t="s">
        <v>11</v>
      </c>
      <c r="C173" s="4">
        <v>88000</v>
      </c>
      <c r="D173" s="5">
        <v>21</v>
      </c>
      <c r="E173" s="5">
        <v>0</v>
      </c>
      <c r="F173" s="5">
        <f>IF(G173&gt;=Modelo!$B$10,1,0)</f>
        <v>0</v>
      </c>
      <c r="G173" s="6">
        <f>1/(1+EXP(-(Modelo!$B$5+Modelo!$B$6*D173+Modelo!$B$7*C173+Modelo!$B$8*IF(B173="Male",1,0))))</f>
        <v>1.7377718638214211E-2</v>
      </c>
      <c r="H173" s="6">
        <f t="shared" si="4"/>
        <v>0.98262228136178575</v>
      </c>
      <c r="I173" s="5" t="str">
        <f t="shared" si="5"/>
        <v>Sí</v>
      </c>
      <c r="J173" s="5" t="s">
        <v>12</v>
      </c>
    </row>
    <row r="174" spans="1:10" x14ac:dyDescent="0.25">
      <c r="A174" s="7">
        <v>15570932</v>
      </c>
      <c r="B174" s="8" t="s">
        <v>11</v>
      </c>
      <c r="C174" s="9">
        <v>115000</v>
      </c>
      <c r="D174" s="10">
        <v>34</v>
      </c>
      <c r="E174" s="10">
        <v>0</v>
      </c>
      <c r="F174" s="10">
        <f>IF(G174&gt;=Modelo!$B$10,1,0)</f>
        <v>0</v>
      </c>
      <c r="G174" s="11">
        <f>1/(1+EXP(-(Modelo!$B$5+Modelo!$B$6*D174+Modelo!$B$7*C174+Modelo!$B$8*IF(B174="Male",1,0))))</f>
        <v>0.4932420515969046</v>
      </c>
      <c r="H174" s="11">
        <f t="shared" si="4"/>
        <v>0.5067579484030954</v>
      </c>
      <c r="I174" s="10" t="str">
        <f t="shared" si="5"/>
        <v>Sí</v>
      </c>
      <c r="J174" s="10" t="s">
        <v>12</v>
      </c>
    </row>
    <row r="175" spans="1:10" x14ac:dyDescent="0.25">
      <c r="A175" s="2">
        <v>15794661</v>
      </c>
      <c r="B175" s="3" t="s">
        <v>14</v>
      </c>
      <c r="C175" s="4">
        <v>118000</v>
      </c>
      <c r="D175" s="5">
        <v>26</v>
      </c>
      <c r="E175" s="5">
        <v>0</v>
      </c>
      <c r="F175" s="5">
        <f>IF(G175&gt;=Modelo!$B$10,1,0)</f>
        <v>0</v>
      </c>
      <c r="G175" s="6">
        <f>1/(1+EXP(-(Modelo!$B$5+Modelo!$B$6*D175+Modelo!$B$7*C175+Modelo!$B$8*IF(B175="Male",1,0))))</f>
        <v>0.11797397565792588</v>
      </c>
      <c r="H175" s="6">
        <f t="shared" si="4"/>
        <v>0.88202602434207411</v>
      </c>
      <c r="I175" s="5" t="str">
        <f t="shared" si="5"/>
        <v>Sí</v>
      </c>
      <c r="J175" s="5" t="s">
        <v>12</v>
      </c>
    </row>
    <row r="176" spans="1:10" x14ac:dyDescent="0.25">
      <c r="A176" s="7">
        <v>15581654</v>
      </c>
      <c r="B176" s="8" t="s">
        <v>14</v>
      </c>
      <c r="C176" s="9">
        <v>43000</v>
      </c>
      <c r="D176" s="10">
        <v>34</v>
      </c>
      <c r="E176" s="10">
        <v>0</v>
      </c>
      <c r="F176" s="10">
        <f>IF(G176&gt;=Modelo!$B$10,1,0)</f>
        <v>0</v>
      </c>
      <c r="G176" s="11">
        <f>1/(1+EXP(-(Modelo!$B$5+Modelo!$B$6*D176+Modelo!$B$7*C176+Modelo!$B$8*IF(B176="Male",1,0))))</f>
        <v>4.1238441342577495E-2</v>
      </c>
      <c r="H176" s="11">
        <f t="shared" si="4"/>
        <v>0.95876155865742252</v>
      </c>
      <c r="I176" s="10" t="str">
        <f t="shared" si="5"/>
        <v>Sí</v>
      </c>
      <c r="J176" s="10" t="s">
        <v>12</v>
      </c>
    </row>
    <row r="177" spans="1:10" x14ac:dyDescent="0.25">
      <c r="A177" s="2">
        <v>15644296</v>
      </c>
      <c r="B177" s="3" t="s">
        <v>14</v>
      </c>
      <c r="C177" s="4">
        <v>72000</v>
      </c>
      <c r="D177" s="5">
        <v>34</v>
      </c>
      <c r="E177" s="5">
        <v>0</v>
      </c>
      <c r="F177" s="5">
        <f>IF(G177&gt;=Modelo!$B$10,1,0)</f>
        <v>0</v>
      </c>
      <c r="G177" s="6">
        <f>1/(1+EXP(-(Modelo!$B$5+Modelo!$B$6*D177+Modelo!$B$7*C177+Modelo!$B$8*IF(B177="Male",1,0))))</f>
        <v>0.11853096416100319</v>
      </c>
      <c r="H177" s="6">
        <f t="shared" si="4"/>
        <v>0.88146903583899683</v>
      </c>
      <c r="I177" s="5" t="str">
        <f t="shared" si="5"/>
        <v>Sí</v>
      </c>
      <c r="J177" s="5" t="s">
        <v>13</v>
      </c>
    </row>
    <row r="178" spans="1:10" x14ac:dyDescent="0.25">
      <c r="A178" s="7">
        <v>15614420</v>
      </c>
      <c r="B178" s="8" t="s">
        <v>14</v>
      </c>
      <c r="C178" s="9">
        <v>28000</v>
      </c>
      <c r="D178" s="10">
        <v>23</v>
      </c>
      <c r="E178" s="10">
        <v>0</v>
      </c>
      <c r="F178" s="10">
        <f>IF(G178&gt;=Modelo!$B$10,1,0)</f>
        <v>0</v>
      </c>
      <c r="G178" s="11">
        <f>1/(1+EXP(-(Modelo!$B$5+Modelo!$B$6*D178+Modelo!$B$7*C178+Modelo!$B$8*IF(B178="Male",1,0))))</f>
        <v>1.9670285548092064E-3</v>
      </c>
      <c r="H178" s="11">
        <f t="shared" si="4"/>
        <v>0.99803297144519076</v>
      </c>
      <c r="I178" s="10" t="str">
        <f t="shared" si="5"/>
        <v>Sí</v>
      </c>
      <c r="J178" s="10" t="s">
        <v>12</v>
      </c>
    </row>
    <row r="179" spans="1:10" x14ac:dyDescent="0.25">
      <c r="A179" s="2">
        <v>15609653</v>
      </c>
      <c r="B179" s="3" t="s">
        <v>14</v>
      </c>
      <c r="C179" s="4">
        <v>47000</v>
      </c>
      <c r="D179" s="5">
        <v>35</v>
      </c>
      <c r="E179" s="5">
        <v>0</v>
      </c>
      <c r="F179" s="5">
        <f>IF(G179&gt;=Modelo!$B$10,1,0)</f>
        <v>0</v>
      </c>
      <c r="G179" s="6">
        <f>1/(1+EXP(-(Modelo!$B$5+Modelo!$B$6*D179+Modelo!$B$7*C179+Modelo!$B$8*IF(B179="Male",1,0))))</f>
        <v>5.9391471463740783E-2</v>
      </c>
      <c r="H179" s="6">
        <f t="shared" si="4"/>
        <v>0.9406085285362592</v>
      </c>
      <c r="I179" s="5" t="str">
        <f t="shared" si="5"/>
        <v>Sí</v>
      </c>
      <c r="J179" s="5" t="s">
        <v>13</v>
      </c>
    </row>
    <row r="180" spans="1:10" x14ac:dyDescent="0.25">
      <c r="A180" s="7">
        <v>15594577</v>
      </c>
      <c r="B180" s="8" t="s">
        <v>11</v>
      </c>
      <c r="C180" s="9">
        <v>22000</v>
      </c>
      <c r="D180" s="10">
        <v>25</v>
      </c>
      <c r="E180" s="10">
        <v>0</v>
      </c>
      <c r="F180" s="10">
        <f>IF(G180&gt;=Modelo!$B$10,1,0)</f>
        <v>0</v>
      </c>
      <c r="G180" s="11">
        <f>1/(1+EXP(-(Modelo!$B$5+Modelo!$B$6*D180+Modelo!$B$7*C180+Modelo!$B$8*IF(B180="Male",1,0))))</f>
        <v>3.2608663371554497E-3</v>
      </c>
      <c r="H180" s="11">
        <f t="shared" si="4"/>
        <v>0.9967391336628445</v>
      </c>
      <c r="I180" s="10" t="str">
        <f t="shared" si="5"/>
        <v>Sí</v>
      </c>
      <c r="J180" s="10" t="s">
        <v>12</v>
      </c>
    </row>
    <row r="181" spans="1:10" x14ac:dyDescent="0.25">
      <c r="A181" s="2">
        <v>15584114</v>
      </c>
      <c r="B181" s="3" t="s">
        <v>11</v>
      </c>
      <c r="C181" s="4">
        <v>23000</v>
      </c>
      <c r="D181" s="5">
        <v>24</v>
      </c>
      <c r="E181" s="5">
        <v>0</v>
      </c>
      <c r="F181" s="5">
        <f>IF(G181&gt;=Modelo!$B$10,1,0)</f>
        <v>0</v>
      </c>
      <c r="G181" s="6">
        <f>1/(1+EXP(-(Modelo!$B$5+Modelo!$B$6*D181+Modelo!$B$7*C181+Modelo!$B$8*IF(B181="Male",1,0))))</f>
        <v>2.7052165175722818E-3</v>
      </c>
      <c r="H181" s="6">
        <f t="shared" si="4"/>
        <v>0.99729478348242773</v>
      </c>
      <c r="I181" s="5" t="str">
        <f t="shared" si="5"/>
        <v>Sí</v>
      </c>
      <c r="J181" s="5" t="s">
        <v>12</v>
      </c>
    </row>
    <row r="182" spans="1:10" x14ac:dyDescent="0.25">
      <c r="A182" s="7">
        <v>15673367</v>
      </c>
      <c r="B182" s="8" t="s">
        <v>14</v>
      </c>
      <c r="C182" s="9">
        <v>34000</v>
      </c>
      <c r="D182" s="10">
        <v>31</v>
      </c>
      <c r="E182" s="10">
        <v>0</v>
      </c>
      <c r="F182" s="10">
        <f>IF(G182&gt;=Modelo!$B$10,1,0)</f>
        <v>0</v>
      </c>
      <c r="G182" s="11">
        <f>1/(1+EXP(-(Modelo!$B$5+Modelo!$B$6*D182+Modelo!$B$7*C182+Modelo!$B$8*IF(B182="Male",1,0))))</f>
        <v>1.5067383471437002E-2</v>
      </c>
      <c r="H182" s="11">
        <f t="shared" si="4"/>
        <v>0.98493261652856301</v>
      </c>
      <c r="I182" s="10" t="str">
        <f t="shared" si="5"/>
        <v>Sí</v>
      </c>
      <c r="J182" s="10" t="s">
        <v>12</v>
      </c>
    </row>
    <row r="183" spans="1:10" x14ac:dyDescent="0.25">
      <c r="A183" s="2">
        <v>15685576</v>
      </c>
      <c r="B183" s="3" t="s">
        <v>11</v>
      </c>
      <c r="C183" s="4">
        <v>16000</v>
      </c>
      <c r="D183" s="5">
        <v>26</v>
      </c>
      <c r="E183" s="5">
        <v>0</v>
      </c>
      <c r="F183" s="5">
        <f>IF(G183&gt;=Modelo!$B$10,1,0)</f>
        <v>0</v>
      </c>
      <c r="G183" s="6">
        <f>1/(1+EXP(-(Modelo!$B$5+Modelo!$B$6*D183+Modelo!$B$7*C183+Modelo!$B$8*IF(B183="Male",1,0))))</f>
        <v>3.2312337339305028E-3</v>
      </c>
      <c r="H183" s="6">
        <f t="shared" si="4"/>
        <v>0.99676876626606947</v>
      </c>
      <c r="I183" s="5" t="str">
        <f t="shared" si="5"/>
        <v>Sí</v>
      </c>
      <c r="J183" s="5" t="s">
        <v>12</v>
      </c>
    </row>
    <row r="184" spans="1:10" x14ac:dyDescent="0.25">
      <c r="A184" s="7">
        <v>15774727</v>
      </c>
      <c r="B184" s="8" t="s">
        <v>14</v>
      </c>
      <c r="C184" s="9">
        <v>71000</v>
      </c>
      <c r="D184" s="10">
        <v>31</v>
      </c>
      <c r="E184" s="10">
        <v>0</v>
      </c>
      <c r="F184" s="10">
        <f>IF(G184&gt;=Modelo!$B$10,1,0)</f>
        <v>0</v>
      </c>
      <c r="G184" s="11">
        <f>1/(1+EXP(-(Modelo!$B$5+Modelo!$B$6*D184+Modelo!$B$7*C184+Modelo!$B$8*IF(B184="Male",1,0))))</f>
        <v>6.1471362565134864E-2</v>
      </c>
      <c r="H184" s="11">
        <f t="shared" si="4"/>
        <v>0.93852863743486514</v>
      </c>
      <c r="I184" s="10" t="str">
        <f t="shared" si="5"/>
        <v>Sí</v>
      </c>
      <c r="J184" s="10" t="s">
        <v>12</v>
      </c>
    </row>
    <row r="185" spans="1:10" x14ac:dyDescent="0.25">
      <c r="A185" s="2">
        <v>15694288</v>
      </c>
      <c r="B185" s="3" t="s">
        <v>14</v>
      </c>
      <c r="C185" s="4">
        <v>117000</v>
      </c>
      <c r="D185" s="5">
        <v>32</v>
      </c>
      <c r="E185" s="5">
        <v>1</v>
      </c>
      <c r="F185" s="5">
        <f>IF(G185&gt;=Modelo!$B$10,1,0)</f>
        <v>0</v>
      </c>
      <c r="G185" s="6">
        <f>1/(1+EXP(-(Modelo!$B$5+Modelo!$B$6*D185+Modelo!$B$7*C185+Modelo!$B$8*IF(B185="Male",1,0))))</f>
        <v>0.33380598004032358</v>
      </c>
      <c r="H185" s="6">
        <f t="shared" si="4"/>
        <v>0.66619401995967642</v>
      </c>
      <c r="I185" s="5" t="str">
        <f t="shared" si="5"/>
        <v>No</v>
      </c>
      <c r="J185" s="5" t="s">
        <v>12</v>
      </c>
    </row>
    <row r="186" spans="1:10" x14ac:dyDescent="0.25">
      <c r="A186" s="7">
        <v>15603319</v>
      </c>
      <c r="B186" s="8" t="s">
        <v>11</v>
      </c>
      <c r="C186" s="9">
        <v>43000</v>
      </c>
      <c r="D186" s="10">
        <v>33</v>
      </c>
      <c r="E186" s="10">
        <v>0</v>
      </c>
      <c r="F186" s="10">
        <f>IF(G186&gt;=Modelo!$B$10,1,0)</f>
        <v>0</v>
      </c>
      <c r="G186" s="11">
        <f>1/(1+EXP(-(Modelo!$B$5+Modelo!$B$6*D186+Modelo!$B$7*C186+Modelo!$B$8*IF(B186="Male",1,0))))</f>
        <v>4.3784889075772056E-2</v>
      </c>
      <c r="H186" s="11">
        <f t="shared" si="4"/>
        <v>0.95621511092422795</v>
      </c>
      <c r="I186" s="10" t="str">
        <f t="shared" si="5"/>
        <v>Sí</v>
      </c>
      <c r="J186" s="10" t="s">
        <v>13</v>
      </c>
    </row>
    <row r="187" spans="1:10" x14ac:dyDescent="0.25">
      <c r="A187" s="2">
        <v>15759066</v>
      </c>
      <c r="B187" s="3" t="s">
        <v>14</v>
      </c>
      <c r="C187" s="4">
        <v>60000</v>
      </c>
      <c r="D187" s="5">
        <v>33</v>
      </c>
      <c r="E187" s="5">
        <v>0</v>
      </c>
      <c r="F187" s="5">
        <f>IF(G187&gt;=Modelo!$B$10,1,0)</f>
        <v>0</v>
      </c>
      <c r="G187" s="6">
        <f>1/(1+EXP(-(Modelo!$B$5+Modelo!$B$6*D187+Modelo!$B$7*C187+Modelo!$B$8*IF(B187="Male",1,0))))</f>
        <v>6.269342729454791E-2</v>
      </c>
      <c r="H187" s="6">
        <f t="shared" si="4"/>
        <v>0.93730657270545215</v>
      </c>
      <c r="I187" s="5" t="str">
        <f t="shared" si="5"/>
        <v>Sí</v>
      </c>
      <c r="J187" s="5" t="s">
        <v>12</v>
      </c>
    </row>
    <row r="188" spans="1:10" x14ac:dyDescent="0.25">
      <c r="A188" s="7">
        <v>15814816</v>
      </c>
      <c r="B188" s="8" t="s">
        <v>11</v>
      </c>
      <c r="C188" s="9">
        <v>66000</v>
      </c>
      <c r="D188" s="10">
        <v>31</v>
      </c>
      <c r="E188" s="10">
        <v>0</v>
      </c>
      <c r="F188" s="10">
        <f>IF(G188&gt;=Modelo!$B$10,1,0)</f>
        <v>0</v>
      </c>
      <c r="G188" s="11">
        <f>1/(1+EXP(-(Modelo!$B$5+Modelo!$B$6*D188+Modelo!$B$7*C188+Modelo!$B$8*IF(B188="Male",1,0))))</f>
        <v>6.704344561825476E-2</v>
      </c>
      <c r="H188" s="11">
        <f t="shared" si="4"/>
        <v>0.9329565543817453</v>
      </c>
      <c r="I188" s="10" t="str">
        <f t="shared" si="5"/>
        <v>Sí</v>
      </c>
      <c r="J188" s="10" t="s">
        <v>12</v>
      </c>
    </row>
    <row r="189" spans="1:10" x14ac:dyDescent="0.25">
      <c r="A189" s="2">
        <v>15724402</v>
      </c>
      <c r="B189" s="3" t="s">
        <v>14</v>
      </c>
      <c r="C189" s="4">
        <v>82000</v>
      </c>
      <c r="D189" s="5">
        <v>20</v>
      </c>
      <c r="E189" s="5">
        <v>0</v>
      </c>
      <c r="F189" s="5">
        <f>IF(G189&gt;=Modelo!$B$10,1,0)</f>
        <v>0</v>
      </c>
      <c r="G189" s="6">
        <f>1/(1+EXP(-(Modelo!$B$5+Modelo!$B$6*D189+Modelo!$B$7*C189+Modelo!$B$8*IF(B189="Male",1,0))))</f>
        <v>8.270192653776173E-3</v>
      </c>
      <c r="H189" s="6">
        <f t="shared" si="4"/>
        <v>0.99172980734622385</v>
      </c>
      <c r="I189" s="5" t="str">
        <f t="shared" si="5"/>
        <v>Sí</v>
      </c>
      <c r="J189" s="5" t="s">
        <v>13</v>
      </c>
    </row>
    <row r="190" spans="1:10" x14ac:dyDescent="0.25">
      <c r="A190" s="7">
        <v>15571059</v>
      </c>
      <c r="B190" s="8" t="s">
        <v>14</v>
      </c>
      <c r="C190" s="9">
        <v>41000</v>
      </c>
      <c r="D190" s="10">
        <v>33</v>
      </c>
      <c r="E190" s="10">
        <v>0</v>
      </c>
      <c r="F190" s="10">
        <f>IF(G190&gt;=Modelo!$B$10,1,0)</f>
        <v>0</v>
      </c>
      <c r="G190" s="11">
        <f>1/(1+EXP(-(Modelo!$B$5+Modelo!$B$6*D190+Modelo!$B$7*C190+Modelo!$B$8*IF(B190="Male",1,0))))</f>
        <v>3.0722491772318093E-2</v>
      </c>
      <c r="H190" s="11">
        <f t="shared" si="4"/>
        <v>0.96927750822768188</v>
      </c>
      <c r="I190" s="10" t="str">
        <f t="shared" si="5"/>
        <v>Sí</v>
      </c>
      <c r="J190" s="10" t="s">
        <v>12</v>
      </c>
    </row>
    <row r="191" spans="1:10" x14ac:dyDescent="0.25">
      <c r="A191" s="2">
        <v>15674206</v>
      </c>
      <c r="B191" s="3" t="s">
        <v>11</v>
      </c>
      <c r="C191" s="4">
        <v>72000</v>
      </c>
      <c r="D191" s="5">
        <v>35</v>
      </c>
      <c r="E191" s="5">
        <v>0</v>
      </c>
      <c r="F191" s="5">
        <f>IF(G191&gt;=Modelo!$B$10,1,0)</f>
        <v>0</v>
      </c>
      <c r="G191" s="6">
        <f>1/(1+EXP(-(Modelo!$B$5+Modelo!$B$6*D191+Modelo!$B$7*C191+Modelo!$B$8*IF(B191="Male",1,0))))</f>
        <v>0.18384804913822417</v>
      </c>
      <c r="H191" s="6">
        <f t="shared" si="4"/>
        <v>0.81615195086177583</v>
      </c>
      <c r="I191" s="5" t="str">
        <f t="shared" si="5"/>
        <v>Sí</v>
      </c>
      <c r="J191" s="5" t="s">
        <v>12</v>
      </c>
    </row>
    <row r="192" spans="1:10" x14ac:dyDescent="0.25">
      <c r="A192" s="7">
        <v>15715160</v>
      </c>
      <c r="B192" s="8" t="s">
        <v>11</v>
      </c>
      <c r="C192" s="9">
        <v>32000</v>
      </c>
      <c r="D192" s="10">
        <v>28</v>
      </c>
      <c r="E192" s="10">
        <v>0</v>
      </c>
      <c r="F192" s="10">
        <f>IF(G192&gt;=Modelo!$B$10,1,0)</f>
        <v>0</v>
      </c>
      <c r="G192" s="11">
        <f>1/(1+EXP(-(Modelo!$B$5+Modelo!$B$6*D192+Modelo!$B$7*C192+Modelo!$B$8*IF(B192="Male",1,0))))</f>
        <v>9.4764723298036355E-3</v>
      </c>
      <c r="H192" s="11">
        <f t="shared" si="4"/>
        <v>0.99052352767019636</v>
      </c>
      <c r="I192" s="10" t="str">
        <f t="shared" si="5"/>
        <v>Sí</v>
      </c>
      <c r="J192" s="10" t="s">
        <v>12</v>
      </c>
    </row>
    <row r="193" spans="1:10" x14ac:dyDescent="0.25">
      <c r="A193" s="2">
        <v>15730448</v>
      </c>
      <c r="B193" s="3" t="s">
        <v>11</v>
      </c>
      <c r="C193" s="4">
        <v>84000</v>
      </c>
      <c r="D193" s="5">
        <v>24</v>
      </c>
      <c r="E193" s="5">
        <v>0</v>
      </c>
      <c r="F193" s="5">
        <f>IF(G193&gt;=Modelo!$B$10,1,0)</f>
        <v>0</v>
      </c>
      <c r="G193" s="6">
        <f>1/(1+EXP(-(Modelo!$B$5+Modelo!$B$6*D193+Modelo!$B$7*C193+Modelo!$B$8*IF(B193="Male",1,0))))</f>
        <v>2.8966062820023633E-2</v>
      </c>
      <c r="H193" s="6">
        <f t="shared" si="4"/>
        <v>0.97103393717997633</v>
      </c>
      <c r="I193" s="5" t="str">
        <f t="shared" si="5"/>
        <v>Sí</v>
      </c>
      <c r="J193" s="5" t="s">
        <v>12</v>
      </c>
    </row>
    <row r="194" spans="1:10" x14ac:dyDescent="0.25">
      <c r="A194" s="7">
        <v>15662067</v>
      </c>
      <c r="B194" s="8" t="s">
        <v>14</v>
      </c>
      <c r="C194" s="9">
        <v>26000</v>
      </c>
      <c r="D194" s="10">
        <v>19</v>
      </c>
      <c r="E194" s="10">
        <v>0</v>
      </c>
      <c r="F194" s="10">
        <f>IF(G194&gt;=Modelo!$B$10,1,0)</f>
        <v>0</v>
      </c>
      <c r="G194" s="11">
        <f>1/(1+EXP(-(Modelo!$B$5+Modelo!$B$6*D194+Modelo!$B$7*C194+Modelo!$B$8*IF(B194="Male",1,0))))</f>
        <v>7.352477067042862E-4</v>
      </c>
      <c r="H194" s="11">
        <f t="shared" si="4"/>
        <v>0.9992647522932957</v>
      </c>
      <c r="I194" s="10" t="str">
        <f t="shared" si="5"/>
        <v>Sí</v>
      </c>
      <c r="J194" s="10" t="s">
        <v>12</v>
      </c>
    </row>
    <row r="195" spans="1:10" x14ac:dyDescent="0.25">
      <c r="A195" s="2">
        <v>15779581</v>
      </c>
      <c r="B195" s="3" t="s">
        <v>11</v>
      </c>
      <c r="C195" s="4">
        <v>43000</v>
      </c>
      <c r="D195" s="5">
        <v>29</v>
      </c>
      <c r="E195" s="5">
        <v>0</v>
      </c>
      <c r="F195" s="5">
        <f>IF(G195&gt;=Modelo!$B$10,1,0)</f>
        <v>0</v>
      </c>
      <c r="G195" s="6">
        <f>1/(1+EXP(-(Modelo!$B$5+Modelo!$B$6*D195+Modelo!$B$7*C195+Modelo!$B$8*IF(B195="Male",1,0))))</f>
        <v>1.8156760118043392E-2</v>
      </c>
      <c r="H195" s="6">
        <f t="shared" ref="H195:H258" si="6">MAX(G195,1-G195)</f>
        <v>0.98184323988195665</v>
      </c>
      <c r="I195" s="5" t="str">
        <f t="shared" ref="I195:I258" si="7">IF(F195=E195,"Sí","No")</f>
        <v>Sí</v>
      </c>
      <c r="J195" s="5" t="s">
        <v>12</v>
      </c>
    </row>
    <row r="196" spans="1:10" x14ac:dyDescent="0.25">
      <c r="A196" s="7">
        <v>15662901</v>
      </c>
      <c r="B196" s="8" t="s">
        <v>11</v>
      </c>
      <c r="C196" s="9">
        <v>70000</v>
      </c>
      <c r="D196" s="10">
        <v>19</v>
      </c>
      <c r="E196" s="10">
        <v>0</v>
      </c>
      <c r="F196" s="10">
        <f>IF(G196&gt;=Modelo!$B$10,1,0)</f>
        <v>0</v>
      </c>
      <c r="G196" s="11">
        <f>1/(1+EXP(-(Modelo!$B$5+Modelo!$B$6*D196+Modelo!$B$7*C196+Modelo!$B$8*IF(B196="Male",1,0))))</f>
        <v>5.5088243113805592E-3</v>
      </c>
      <c r="H196" s="11">
        <f t="shared" si="6"/>
        <v>0.99449117568861944</v>
      </c>
      <c r="I196" s="10" t="str">
        <f t="shared" si="7"/>
        <v>Sí</v>
      </c>
      <c r="J196" s="10" t="s">
        <v>12</v>
      </c>
    </row>
    <row r="197" spans="1:10" x14ac:dyDescent="0.25">
      <c r="A197" s="2">
        <v>15689751</v>
      </c>
      <c r="B197" s="3" t="s">
        <v>11</v>
      </c>
      <c r="C197" s="4">
        <v>89000</v>
      </c>
      <c r="D197" s="5">
        <v>28</v>
      </c>
      <c r="E197" s="5">
        <v>0</v>
      </c>
      <c r="F197" s="5">
        <f>IF(G197&gt;=Modelo!$B$10,1,0)</f>
        <v>0</v>
      </c>
      <c r="G197" s="6">
        <f>1/(1+EXP(-(Modelo!$B$5+Modelo!$B$6*D197+Modelo!$B$7*C197+Modelo!$B$8*IF(B197="Male",1,0))))</f>
        <v>8.2487830553084077E-2</v>
      </c>
      <c r="H197" s="6">
        <f t="shared" si="6"/>
        <v>0.91751216944691594</v>
      </c>
      <c r="I197" s="5" t="str">
        <f t="shared" si="7"/>
        <v>Sí</v>
      </c>
      <c r="J197" s="5" t="s">
        <v>12</v>
      </c>
    </row>
    <row r="198" spans="1:10" x14ac:dyDescent="0.25">
      <c r="A198" s="7">
        <v>15667742</v>
      </c>
      <c r="B198" s="8" t="s">
        <v>11</v>
      </c>
      <c r="C198" s="9">
        <v>43000</v>
      </c>
      <c r="D198" s="10">
        <v>34</v>
      </c>
      <c r="E198" s="10">
        <v>0</v>
      </c>
      <c r="F198" s="10">
        <f>IF(G198&gt;=Modelo!$B$10,1,0)</f>
        <v>0</v>
      </c>
      <c r="G198" s="11">
        <f>1/(1+EXP(-(Modelo!$B$5+Modelo!$B$6*D198+Modelo!$B$7*C198+Modelo!$B$8*IF(B198="Male",1,0))))</f>
        <v>5.4319551332900305E-2</v>
      </c>
      <c r="H198" s="11">
        <f t="shared" si="6"/>
        <v>0.94568044866709966</v>
      </c>
      <c r="I198" s="10" t="str">
        <f t="shared" si="7"/>
        <v>Sí</v>
      </c>
      <c r="J198" s="10" t="s">
        <v>13</v>
      </c>
    </row>
    <row r="199" spans="1:10" x14ac:dyDescent="0.25">
      <c r="A199" s="2">
        <v>15738448</v>
      </c>
      <c r="B199" s="3" t="s">
        <v>14</v>
      </c>
      <c r="C199" s="4">
        <v>79000</v>
      </c>
      <c r="D199" s="5">
        <v>30</v>
      </c>
      <c r="E199" s="5">
        <v>0</v>
      </c>
      <c r="F199" s="5">
        <f>IF(G199&gt;=Modelo!$B$10,1,0)</f>
        <v>0</v>
      </c>
      <c r="G199" s="6">
        <f>1/(1+EXP(-(Modelo!$B$5+Modelo!$B$6*D199+Modelo!$B$7*C199+Modelo!$B$8*IF(B199="Male",1,0))))</f>
        <v>6.6734193340167322E-2</v>
      </c>
      <c r="H199" s="6">
        <f t="shared" si="6"/>
        <v>0.93326580665983272</v>
      </c>
      <c r="I199" s="5" t="str">
        <f t="shared" si="7"/>
        <v>Sí</v>
      </c>
      <c r="J199" s="5" t="s">
        <v>12</v>
      </c>
    </row>
    <row r="200" spans="1:10" x14ac:dyDescent="0.25">
      <c r="A200" s="7">
        <v>15680243</v>
      </c>
      <c r="B200" s="8" t="s">
        <v>14</v>
      </c>
      <c r="C200" s="9">
        <v>36000</v>
      </c>
      <c r="D200" s="10">
        <v>20</v>
      </c>
      <c r="E200" s="10">
        <v>0</v>
      </c>
      <c r="F200" s="10">
        <f>IF(G200&gt;=Modelo!$B$10,1,0)</f>
        <v>0</v>
      </c>
      <c r="G200" s="11">
        <f>1/(1+EXP(-(Modelo!$B$5+Modelo!$B$6*D200+Modelo!$B$7*C200+Modelo!$B$8*IF(B200="Male",1,0))))</f>
        <v>1.3655381870951873E-3</v>
      </c>
      <c r="H200" s="11">
        <f t="shared" si="6"/>
        <v>0.99863446181290483</v>
      </c>
      <c r="I200" s="10" t="str">
        <f t="shared" si="7"/>
        <v>Sí</v>
      </c>
      <c r="J200" s="10" t="s">
        <v>12</v>
      </c>
    </row>
    <row r="201" spans="1:10" x14ac:dyDescent="0.25">
      <c r="A201" s="2">
        <v>15745083</v>
      </c>
      <c r="B201" s="3" t="s">
        <v>11</v>
      </c>
      <c r="C201" s="4">
        <v>80000</v>
      </c>
      <c r="D201" s="5">
        <v>26</v>
      </c>
      <c r="E201" s="5">
        <v>0</v>
      </c>
      <c r="F201" s="5">
        <f>IF(G201&gt;=Modelo!$B$10,1,0)</f>
        <v>0</v>
      </c>
      <c r="G201" s="6">
        <f>1/(1+EXP(-(Modelo!$B$5+Modelo!$B$6*D201+Modelo!$B$7*C201+Modelo!$B$8*IF(B201="Male",1,0))))</f>
        <v>3.856392819442666E-2</v>
      </c>
      <c r="H201" s="6">
        <f t="shared" si="6"/>
        <v>0.96143607180557333</v>
      </c>
      <c r="I201" s="5" t="str">
        <f t="shared" si="7"/>
        <v>Sí</v>
      </c>
      <c r="J201" s="5" t="s">
        <v>12</v>
      </c>
    </row>
    <row r="202" spans="1:10" x14ac:dyDescent="0.25">
      <c r="A202" s="7">
        <v>15708228</v>
      </c>
      <c r="B202" s="8" t="s">
        <v>11</v>
      </c>
      <c r="C202" s="9">
        <v>22000</v>
      </c>
      <c r="D202" s="10">
        <v>35</v>
      </c>
      <c r="E202" s="10">
        <v>0</v>
      </c>
      <c r="F202" s="10">
        <f>IF(G202&gt;=Modelo!$B$10,1,0)</f>
        <v>0</v>
      </c>
      <c r="G202" s="11">
        <f>1/(1+EXP(-(Modelo!$B$5+Modelo!$B$6*D202+Modelo!$B$7*C202+Modelo!$B$8*IF(B202="Male",1,0))))</f>
        <v>3.0597554915169373E-2</v>
      </c>
      <c r="H202" s="11">
        <f t="shared" si="6"/>
        <v>0.96940244508483064</v>
      </c>
      <c r="I202" s="10" t="str">
        <f t="shared" si="7"/>
        <v>Sí</v>
      </c>
      <c r="J202" s="10" t="s">
        <v>12</v>
      </c>
    </row>
    <row r="203" spans="1:10" x14ac:dyDescent="0.25">
      <c r="A203" s="2">
        <v>15628523</v>
      </c>
      <c r="B203" s="3" t="s">
        <v>11</v>
      </c>
      <c r="C203" s="4">
        <v>39000</v>
      </c>
      <c r="D203" s="5">
        <v>35</v>
      </c>
      <c r="E203" s="5">
        <v>0</v>
      </c>
      <c r="F203" s="5">
        <f>IF(G203&gt;=Modelo!$B$10,1,0)</f>
        <v>0</v>
      </c>
      <c r="G203" s="6">
        <f>1/(1+EXP(-(Modelo!$B$5+Modelo!$B$6*D203+Modelo!$B$7*C203+Modelo!$B$8*IF(B203="Male",1,0))))</f>
        <v>5.7999667143869574E-2</v>
      </c>
      <c r="H203" s="6">
        <f t="shared" si="6"/>
        <v>0.94200033285613038</v>
      </c>
      <c r="I203" s="5" t="str">
        <f t="shared" si="7"/>
        <v>Sí</v>
      </c>
      <c r="J203" s="5" t="s">
        <v>13</v>
      </c>
    </row>
    <row r="204" spans="1:10" x14ac:dyDescent="0.25">
      <c r="A204" s="7">
        <v>15708196</v>
      </c>
      <c r="B204" s="8" t="s">
        <v>11</v>
      </c>
      <c r="C204" s="9">
        <v>74000</v>
      </c>
      <c r="D204" s="10">
        <v>49</v>
      </c>
      <c r="E204" s="10">
        <v>0</v>
      </c>
      <c r="F204" s="10">
        <f>IF(G204&gt;=Modelo!$B$10,1,0)</f>
        <v>1</v>
      </c>
      <c r="G204" s="11">
        <f>1/(1+EXP(-(Modelo!$B$5+Modelo!$B$6*D204+Modelo!$B$7*C204+Modelo!$B$8*IF(B204="Male",1,0))))</f>
        <v>0.85340378071851941</v>
      </c>
      <c r="H204" s="11">
        <f t="shared" si="6"/>
        <v>0.85340378071851941</v>
      </c>
      <c r="I204" s="10" t="str">
        <f t="shared" si="7"/>
        <v>No</v>
      </c>
      <c r="J204" s="10" t="s">
        <v>12</v>
      </c>
    </row>
    <row r="205" spans="1:10" x14ac:dyDescent="0.25">
      <c r="A205" s="2">
        <v>15735549</v>
      </c>
      <c r="B205" s="3" t="s">
        <v>14</v>
      </c>
      <c r="C205" s="4">
        <v>134000</v>
      </c>
      <c r="D205" s="5">
        <v>39</v>
      </c>
      <c r="E205" s="5">
        <v>1</v>
      </c>
      <c r="F205" s="5">
        <f>IF(G205&gt;=Modelo!$B$10,1,0)</f>
        <v>1</v>
      </c>
      <c r="G205" s="6">
        <f>1/(1+EXP(-(Modelo!$B$5+Modelo!$B$6*D205+Modelo!$B$7*C205+Modelo!$B$8*IF(B205="Male",1,0))))</f>
        <v>0.82691024274634106</v>
      </c>
      <c r="H205" s="6">
        <f t="shared" si="6"/>
        <v>0.82691024274634106</v>
      </c>
      <c r="I205" s="5" t="str">
        <f t="shared" si="7"/>
        <v>Sí</v>
      </c>
      <c r="J205" s="5" t="s">
        <v>12</v>
      </c>
    </row>
    <row r="206" spans="1:10" x14ac:dyDescent="0.25">
      <c r="A206" s="7">
        <v>15809347</v>
      </c>
      <c r="B206" s="8" t="s">
        <v>14</v>
      </c>
      <c r="C206" s="9">
        <v>71000</v>
      </c>
      <c r="D206" s="10">
        <v>41</v>
      </c>
      <c r="E206" s="10">
        <v>0</v>
      </c>
      <c r="F206" s="10">
        <f>IF(G206&gt;=Modelo!$B$10,1,0)</f>
        <v>0</v>
      </c>
      <c r="G206" s="11">
        <f>1/(1+EXP(-(Modelo!$B$5+Modelo!$B$6*D206+Modelo!$B$7*C206+Modelo!$B$8*IF(B206="Male",1,0))))</f>
        <v>0.38722176854659829</v>
      </c>
      <c r="H206" s="11">
        <f t="shared" si="6"/>
        <v>0.61277823145340171</v>
      </c>
      <c r="I206" s="10" t="str">
        <f t="shared" si="7"/>
        <v>Sí</v>
      </c>
      <c r="J206" s="10" t="s">
        <v>12</v>
      </c>
    </row>
    <row r="207" spans="1:10" x14ac:dyDescent="0.25">
      <c r="A207" s="2">
        <v>15660866</v>
      </c>
      <c r="B207" s="3" t="s">
        <v>14</v>
      </c>
      <c r="C207" s="4">
        <v>101000</v>
      </c>
      <c r="D207" s="5">
        <v>58</v>
      </c>
      <c r="E207" s="5">
        <v>1</v>
      </c>
      <c r="F207" s="5">
        <f>IF(G207&gt;=Modelo!$B$10,1,0)</f>
        <v>1</v>
      </c>
      <c r="G207" s="6">
        <f>1/(1+EXP(-(Modelo!$B$5+Modelo!$B$6*D207+Modelo!$B$7*C207+Modelo!$B$8*IF(B207="Male",1,0))))</f>
        <v>0.98978476915237823</v>
      </c>
      <c r="H207" s="6">
        <f t="shared" si="6"/>
        <v>0.98978476915237823</v>
      </c>
      <c r="I207" s="5" t="str">
        <f t="shared" si="7"/>
        <v>Sí</v>
      </c>
      <c r="J207" s="5" t="s">
        <v>12</v>
      </c>
    </row>
    <row r="208" spans="1:10" x14ac:dyDescent="0.25">
      <c r="A208" s="7">
        <v>15766609</v>
      </c>
      <c r="B208" s="8" t="s">
        <v>14</v>
      </c>
      <c r="C208" s="9">
        <v>47000</v>
      </c>
      <c r="D208" s="10">
        <v>47</v>
      </c>
      <c r="E208" s="10">
        <v>0</v>
      </c>
      <c r="F208" s="10">
        <f>IF(G208&gt;=Modelo!$B$10,1,0)</f>
        <v>0</v>
      </c>
      <c r="G208" s="11">
        <f>1/(1+EXP(-(Modelo!$B$5+Modelo!$B$6*D208+Modelo!$B$7*C208+Modelo!$B$8*IF(B208="Male",1,0))))</f>
        <v>0.48942840570288804</v>
      </c>
      <c r="H208" s="11">
        <f t="shared" si="6"/>
        <v>0.51057159429711196</v>
      </c>
      <c r="I208" s="10" t="str">
        <f t="shared" si="7"/>
        <v>Sí</v>
      </c>
      <c r="J208" s="10" t="s">
        <v>12</v>
      </c>
    </row>
    <row r="209" spans="1:10" x14ac:dyDescent="0.25">
      <c r="A209" s="2">
        <v>15654230</v>
      </c>
      <c r="B209" s="3" t="s">
        <v>14</v>
      </c>
      <c r="C209" s="4">
        <v>130000</v>
      </c>
      <c r="D209" s="5">
        <v>55</v>
      </c>
      <c r="E209" s="5">
        <v>1</v>
      </c>
      <c r="F209" s="5">
        <f>IF(G209&gt;=Modelo!$B$10,1,0)</f>
        <v>1</v>
      </c>
      <c r="G209" s="6">
        <f>1/(1+EXP(-(Modelo!$B$5+Modelo!$B$6*D209+Modelo!$B$7*C209+Modelo!$B$8*IF(B209="Male",1,0))))</f>
        <v>0.99352584935603239</v>
      </c>
      <c r="H209" s="6">
        <f t="shared" si="6"/>
        <v>0.99352584935603239</v>
      </c>
      <c r="I209" s="5" t="str">
        <f t="shared" si="7"/>
        <v>Sí</v>
      </c>
      <c r="J209" s="5" t="s">
        <v>12</v>
      </c>
    </row>
    <row r="210" spans="1:10" x14ac:dyDescent="0.25">
      <c r="A210" s="7">
        <v>15794566</v>
      </c>
      <c r="B210" s="8" t="s">
        <v>14</v>
      </c>
      <c r="C210" s="9">
        <v>114000</v>
      </c>
      <c r="D210" s="10">
        <v>52</v>
      </c>
      <c r="E210" s="10">
        <v>0</v>
      </c>
      <c r="F210" s="10">
        <f>IF(G210&gt;=Modelo!$B$10,1,0)</f>
        <v>1</v>
      </c>
      <c r="G210" s="11">
        <f>1/(1+EXP(-(Modelo!$B$5+Modelo!$B$6*D210+Modelo!$B$7*C210+Modelo!$B$8*IF(B210="Male",1,0))))</f>
        <v>0.97644397418599205</v>
      </c>
      <c r="H210" s="11">
        <f t="shared" si="6"/>
        <v>0.97644397418599205</v>
      </c>
      <c r="I210" s="10" t="str">
        <f t="shared" si="7"/>
        <v>No</v>
      </c>
      <c r="J210" s="10" t="s">
        <v>12</v>
      </c>
    </row>
    <row r="211" spans="1:10" x14ac:dyDescent="0.25">
      <c r="A211" s="2">
        <v>15800890</v>
      </c>
      <c r="B211" s="3" t="s">
        <v>14</v>
      </c>
      <c r="C211" s="4">
        <v>142000</v>
      </c>
      <c r="D211" s="5">
        <v>40</v>
      </c>
      <c r="E211" s="5">
        <v>1</v>
      </c>
      <c r="F211" s="5">
        <f>IF(G211&gt;=Modelo!$B$10,1,0)</f>
        <v>1</v>
      </c>
      <c r="G211" s="6">
        <f>1/(1+EXP(-(Modelo!$B$5+Modelo!$B$6*D211+Modelo!$B$7*C211+Modelo!$B$8*IF(B211="Male",1,0))))</f>
        <v>0.89138844701920994</v>
      </c>
      <c r="H211" s="6">
        <f t="shared" si="6"/>
        <v>0.89138844701920994</v>
      </c>
      <c r="I211" s="5" t="str">
        <f t="shared" si="7"/>
        <v>Sí</v>
      </c>
      <c r="J211" s="5" t="s">
        <v>12</v>
      </c>
    </row>
    <row r="212" spans="1:10" x14ac:dyDescent="0.25">
      <c r="A212" s="7">
        <v>15697424</v>
      </c>
      <c r="B212" s="8" t="s">
        <v>14</v>
      </c>
      <c r="C212" s="9">
        <v>22000</v>
      </c>
      <c r="D212" s="10">
        <v>46</v>
      </c>
      <c r="E212" s="10">
        <v>0</v>
      </c>
      <c r="F212" s="10">
        <f>IF(G212&gt;=Modelo!$B$10,1,0)</f>
        <v>0</v>
      </c>
      <c r="G212" s="11">
        <f>1/(1+EXP(-(Modelo!$B$5+Modelo!$B$6*D212+Modelo!$B$7*C212+Modelo!$B$8*IF(B212="Male",1,0))))</f>
        <v>0.2224231698985957</v>
      </c>
      <c r="H212" s="11">
        <f t="shared" si="6"/>
        <v>0.77757683010140433</v>
      </c>
      <c r="I212" s="10" t="str">
        <f t="shared" si="7"/>
        <v>Sí</v>
      </c>
      <c r="J212" s="10" t="s">
        <v>13</v>
      </c>
    </row>
    <row r="213" spans="1:10" x14ac:dyDescent="0.25">
      <c r="A213" s="2">
        <v>15724536</v>
      </c>
      <c r="B213" s="3" t="s">
        <v>14</v>
      </c>
      <c r="C213" s="4">
        <v>96000</v>
      </c>
      <c r="D213" s="5">
        <v>48</v>
      </c>
      <c r="E213" s="5">
        <v>1</v>
      </c>
      <c r="F213" s="5">
        <f>IF(G213&gt;=Modelo!$B$10,1,0)</f>
        <v>1</v>
      </c>
      <c r="G213" s="6">
        <f>1/(1+EXP(-(Modelo!$B$5+Modelo!$B$6*D213+Modelo!$B$7*C213+Modelo!$B$8*IF(B213="Male",1,0))))</f>
        <v>0.8919045393581928</v>
      </c>
      <c r="H213" s="6">
        <f t="shared" si="6"/>
        <v>0.8919045393581928</v>
      </c>
      <c r="I213" s="5" t="str">
        <f t="shared" si="7"/>
        <v>Sí</v>
      </c>
      <c r="J213" s="5" t="s">
        <v>12</v>
      </c>
    </row>
    <row r="214" spans="1:10" x14ac:dyDescent="0.25">
      <c r="A214" s="7">
        <v>15735878</v>
      </c>
      <c r="B214" s="8" t="s">
        <v>11</v>
      </c>
      <c r="C214" s="9">
        <v>150000</v>
      </c>
      <c r="D214" s="10">
        <v>52</v>
      </c>
      <c r="E214" s="10">
        <v>1</v>
      </c>
      <c r="F214" s="10">
        <f>IF(G214&gt;=Modelo!$B$10,1,0)</f>
        <v>1</v>
      </c>
      <c r="G214" s="11">
        <f>1/(1+EXP(-(Modelo!$B$5+Modelo!$B$6*D214+Modelo!$B$7*C214+Modelo!$B$8*IF(B214="Male",1,0))))</f>
        <v>0.99563072913748796</v>
      </c>
      <c r="H214" s="11">
        <f t="shared" si="6"/>
        <v>0.99563072913748796</v>
      </c>
      <c r="I214" s="10" t="str">
        <f t="shared" si="7"/>
        <v>Sí</v>
      </c>
      <c r="J214" s="10" t="s">
        <v>13</v>
      </c>
    </row>
    <row r="215" spans="1:10" x14ac:dyDescent="0.25">
      <c r="A215" s="2">
        <v>15707596</v>
      </c>
      <c r="B215" s="3" t="s">
        <v>14</v>
      </c>
      <c r="C215" s="4">
        <v>42000</v>
      </c>
      <c r="D215" s="5">
        <v>59</v>
      </c>
      <c r="E215" s="5">
        <v>0</v>
      </c>
      <c r="F215" s="5">
        <f>IF(G215&gt;=Modelo!$B$10,1,0)</f>
        <v>1</v>
      </c>
      <c r="G215" s="6">
        <f>1/(1+EXP(-(Modelo!$B$5+Modelo!$B$6*D215+Modelo!$B$7*C215+Modelo!$B$8*IF(B215="Male",1,0))))</f>
        <v>0.92281788581579349</v>
      </c>
      <c r="H215" s="6">
        <f t="shared" si="6"/>
        <v>0.92281788581579349</v>
      </c>
      <c r="I215" s="5" t="str">
        <f t="shared" si="7"/>
        <v>No</v>
      </c>
      <c r="J215" s="5" t="s">
        <v>12</v>
      </c>
    </row>
    <row r="216" spans="1:10" x14ac:dyDescent="0.25">
      <c r="A216" s="7">
        <v>15657163</v>
      </c>
      <c r="B216" s="8" t="s">
        <v>11</v>
      </c>
      <c r="C216" s="9">
        <v>58000</v>
      </c>
      <c r="D216" s="10">
        <v>35</v>
      </c>
      <c r="E216" s="10">
        <v>0</v>
      </c>
      <c r="F216" s="10">
        <f>IF(G216&gt;=Modelo!$B$10,1,0)</f>
        <v>0</v>
      </c>
      <c r="G216" s="11">
        <f>1/(1+EXP(-(Modelo!$B$5+Modelo!$B$6*D216+Modelo!$B$7*C216+Modelo!$B$8*IF(B216="Male",1,0))))</f>
        <v>0.11498873401464046</v>
      </c>
      <c r="H216" s="11">
        <f t="shared" si="6"/>
        <v>0.88501126598535951</v>
      </c>
      <c r="I216" s="10" t="str">
        <f t="shared" si="7"/>
        <v>Sí</v>
      </c>
      <c r="J216" s="10" t="s">
        <v>12</v>
      </c>
    </row>
    <row r="217" spans="1:10" x14ac:dyDescent="0.25">
      <c r="A217" s="2">
        <v>15622478</v>
      </c>
      <c r="B217" s="3" t="s">
        <v>11</v>
      </c>
      <c r="C217" s="4">
        <v>43000</v>
      </c>
      <c r="D217" s="5">
        <v>47</v>
      </c>
      <c r="E217" s="5">
        <v>0</v>
      </c>
      <c r="F217" s="5">
        <f>IF(G217&gt;=Modelo!$B$10,1,0)</f>
        <v>1</v>
      </c>
      <c r="G217" s="6">
        <f>1/(1+EXP(-(Modelo!$B$5+Modelo!$B$6*D217+Modelo!$B$7*C217+Modelo!$B$8*IF(B217="Male",1,0))))</f>
        <v>0.52241917378465286</v>
      </c>
      <c r="H217" s="6">
        <f t="shared" si="6"/>
        <v>0.52241917378465286</v>
      </c>
      <c r="I217" s="5" t="str">
        <f t="shared" si="7"/>
        <v>No</v>
      </c>
      <c r="J217" s="5" t="s">
        <v>12</v>
      </c>
    </row>
    <row r="218" spans="1:10" x14ac:dyDescent="0.25">
      <c r="A218" s="7">
        <v>15779529</v>
      </c>
      <c r="B218" s="8" t="s">
        <v>14</v>
      </c>
      <c r="C218" s="9">
        <v>108000</v>
      </c>
      <c r="D218" s="10">
        <v>60</v>
      </c>
      <c r="E218" s="10">
        <v>1</v>
      </c>
      <c r="F218" s="10">
        <f>IF(G218&gt;=Modelo!$B$10,1,0)</f>
        <v>1</v>
      </c>
      <c r="G218" s="11">
        <f>1/(1+EXP(-(Modelo!$B$5+Modelo!$B$6*D218+Modelo!$B$7*C218+Modelo!$B$8*IF(B218="Male",1,0))))</f>
        <v>0.99504352957331721</v>
      </c>
      <c r="H218" s="11">
        <f t="shared" si="6"/>
        <v>0.99504352957331721</v>
      </c>
      <c r="I218" s="10" t="str">
        <f t="shared" si="7"/>
        <v>Sí</v>
      </c>
      <c r="J218" s="10" t="s">
        <v>12</v>
      </c>
    </row>
    <row r="219" spans="1:10" x14ac:dyDescent="0.25">
      <c r="A219" s="2">
        <v>15636023</v>
      </c>
      <c r="B219" s="3" t="s">
        <v>11</v>
      </c>
      <c r="C219" s="4">
        <v>65000</v>
      </c>
      <c r="D219" s="5">
        <v>49</v>
      </c>
      <c r="E219" s="5">
        <v>0</v>
      </c>
      <c r="F219" s="5">
        <f>IF(G219&gt;=Modelo!$B$10,1,0)</f>
        <v>1</v>
      </c>
      <c r="G219" s="6">
        <f>1/(1+EXP(-(Modelo!$B$5+Modelo!$B$6*D219+Modelo!$B$7*C219+Modelo!$B$8*IF(B219="Male",1,0))))</f>
        <v>0.80341909603644812</v>
      </c>
      <c r="H219" s="6">
        <f t="shared" si="6"/>
        <v>0.80341909603644812</v>
      </c>
      <c r="I219" s="5" t="str">
        <f t="shared" si="7"/>
        <v>No</v>
      </c>
      <c r="J219" s="5" t="s">
        <v>12</v>
      </c>
    </row>
    <row r="220" spans="1:10" x14ac:dyDescent="0.25">
      <c r="A220" s="7">
        <v>15582066</v>
      </c>
      <c r="B220" s="8" t="s">
        <v>11</v>
      </c>
      <c r="C220" s="9">
        <v>78000</v>
      </c>
      <c r="D220" s="10">
        <v>40</v>
      </c>
      <c r="E220" s="10">
        <v>0</v>
      </c>
      <c r="F220" s="10">
        <f>IF(G220&gt;=Modelo!$B$10,1,0)</f>
        <v>0</v>
      </c>
      <c r="G220" s="11">
        <f>1/(1+EXP(-(Modelo!$B$5+Modelo!$B$6*D220+Modelo!$B$7*C220+Modelo!$B$8*IF(B220="Male",1,0))))</f>
        <v>0.46971449821028788</v>
      </c>
      <c r="H220" s="11">
        <f t="shared" si="6"/>
        <v>0.53028550178971212</v>
      </c>
      <c r="I220" s="10" t="str">
        <f t="shared" si="7"/>
        <v>Sí</v>
      </c>
      <c r="J220" s="10" t="s">
        <v>12</v>
      </c>
    </row>
    <row r="221" spans="1:10" x14ac:dyDescent="0.25">
      <c r="A221" s="2">
        <v>15666675</v>
      </c>
      <c r="B221" s="3" t="s">
        <v>14</v>
      </c>
      <c r="C221" s="4">
        <v>96000</v>
      </c>
      <c r="D221" s="5">
        <v>46</v>
      </c>
      <c r="E221" s="5">
        <v>0</v>
      </c>
      <c r="F221" s="5">
        <f>IF(G221&gt;=Modelo!$B$10,1,0)</f>
        <v>1</v>
      </c>
      <c r="G221" s="6">
        <f>1/(1+EXP(-(Modelo!$B$5+Modelo!$B$6*D221+Modelo!$B$7*C221+Modelo!$B$8*IF(B221="Male",1,0))))</f>
        <v>0.83983448617764767</v>
      </c>
      <c r="H221" s="6">
        <f t="shared" si="6"/>
        <v>0.83983448617764767</v>
      </c>
      <c r="I221" s="5" t="str">
        <f t="shared" si="7"/>
        <v>No</v>
      </c>
      <c r="J221" s="5" t="s">
        <v>12</v>
      </c>
    </row>
    <row r="222" spans="1:10" x14ac:dyDescent="0.25">
      <c r="A222" s="7">
        <v>15732987</v>
      </c>
      <c r="B222" s="8" t="s">
        <v>11</v>
      </c>
      <c r="C222" s="9">
        <v>143000</v>
      </c>
      <c r="D222" s="10">
        <v>59</v>
      </c>
      <c r="E222" s="10">
        <v>1</v>
      </c>
      <c r="F222" s="10">
        <f>IF(G222&gt;=Modelo!$B$10,1,0)</f>
        <v>1</v>
      </c>
      <c r="G222" s="11">
        <f>1/(1+EXP(-(Modelo!$B$5+Modelo!$B$6*D222+Modelo!$B$7*C222+Modelo!$B$8*IF(B222="Male",1,0))))</f>
        <v>0.99881917234971906</v>
      </c>
      <c r="H222" s="11">
        <f t="shared" si="6"/>
        <v>0.99881917234971906</v>
      </c>
      <c r="I222" s="10" t="str">
        <f t="shared" si="7"/>
        <v>Sí</v>
      </c>
      <c r="J222" s="10" t="s">
        <v>12</v>
      </c>
    </row>
    <row r="223" spans="1:10" x14ac:dyDescent="0.25">
      <c r="A223" s="2">
        <v>15789432</v>
      </c>
      <c r="B223" s="3" t="s">
        <v>14</v>
      </c>
      <c r="C223" s="4">
        <v>80000</v>
      </c>
      <c r="D223" s="5">
        <v>41</v>
      </c>
      <c r="E223" s="5">
        <v>0</v>
      </c>
      <c r="F223" s="5">
        <f>IF(G223&gt;=Modelo!$B$10,1,0)</f>
        <v>0</v>
      </c>
      <c r="G223" s="6">
        <f>1/(1+EXP(-(Modelo!$B$5+Modelo!$B$6*D223+Modelo!$B$7*C223+Modelo!$B$8*IF(B223="Male",1,0))))</f>
        <v>0.47370998331928782</v>
      </c>
      <c r="H223" s="6">
        <f t="shared" si="6"/>
        <v>0.52629001668071218</v>
      </c>
      <c r="I223" s="5" t="str">
        <f t="shared" si="7"/>
        <v>Sí</v>
      </c>
      <c r="J223" s="5" t="s">
        <v>12</v>
      </c>
    </row>
    <row r="224" spans="1:10" x14ac:dyDescent="0.25">
      <c r="A224" s="7">
        <v>15663161</v>
      </c>
      <c r="B224" s="8" t="s">
        <v>11</v>
      </c>
      <c r="C224" s="9">
        <v>91000</v>
      </c>
      <c r="D224" s="10">
        <v>35</v>
      </c>
      <c r="E224" s="10">
        <v>1</v>
      </c>
      <c r="F224" s="10">
        <f>IF(G224&gt;=Modelo!$B$10,1,0)</f>
        <v>0</v>
      </c>
      <c r="G224" s="11">
        <f>1/(1+EXP(-(Modelo!$B$5+Modelo!$B$6*D224+Modelo!$B$7*C224+Modelo!$B$8*IF(B224="Male",1,0))))</f>
        <v>0.32219802861293512</v>
      </c>
      <c r="H224" s="11">
        <f t="shared" si="6"/>
        <v>0.67780197138706488</v>
      </c>
      <c r="I224" s="10" t="str">
        <f t="shared" si="7"/>
        <v>No</v>
      </c>
      <c r="J224" s="10" t="s">
        <v>12</v>
      </c>
    </row>
    <row r="225" spans="1:10" x14ac:dyDescent="0.25">
      <c r="A225" s="2">
        <v>15694879</v>
      </c>
      <c r="B225" s="3" t="s">
        <v>11</v>
      </c>
      <c r="C225" s="4">
        <v>144000</v>
      </c>
      <c r="D225" s="5">
        <v>37</v>
      </c>
      <c r="E225" s="5">
        <v>1</v>
      </c>
      <c r="F225" s="5">
        <f>IF(G225&gt;=Modelo!$B$10,1,0)</f>
        <v>1</v>
      </c>
      <c r="G225" s="6">
        <f>1/(1+EXP(-(Modelo!$B$5+Modelo!$B$6*D225+Modelo!$B$7*C225+Modelo!$B$8*IF(B225="Male",1,0))))</f>
        <v>0.85727553046391614</v>
      </c>
      <c r="H225" s="6">
        <f t="shared" si="6"/>
        <v>0.85727553046391614</v>
      </c>
      <c r="I225" s="5" t="str">
        <f t="shared" si="7"/>
        <v>Sí</v>
      </c>
      <c r="J225" s="5" t="s">
        <v>12</v>
      </c>
    </row>
    <row r="226" spans="1:10" x14ac:dyDescent="0.25">
      <c r="A226" s="7">
        <v>15593715</v>
      </c>
      <c r="B226" s="8" t="s">
        <v>11</v>
      </c>
      <c r="C226" s="9">
        <v>102000</v>
      </c>
      <c r="D226" s="10">
        <v>60</v>
      </c>
      <c r="E226" s="10">
        <v>1</v>
      </c>
      <c r="F226" s="10">
        <f>IF(G226&gt;=Modelo!$B$10,1,0)</f>
        <v>1</v>
      </c>
      <c r="G226" s="11">
        <f>1/(1+EXP(-(Modelo!$B$5+Modelo!$B$6*D226+Modelo!$B$7*C226+Modelo!$B$8*IF(B226="Male",1,0))))</f>
        <v>0.9953001389690207</v>
      </c>
      <c r="H226" s="11">
        <f t="shared" si="6"/>
        <v>0.9953001389690207</v>
      </c>
      <c r="I226" s="10" t="str">
        <f t="shared" si="7"/>
        <v>Sí</v>
      </c>
      <c r="J226" s="10" t="s">
        <v>13</v>
      </c>
    </row>
    <row r="227" spans="1:10" x14ac:dyDescent="0.25">
      <c r="A227" s="2">
        <v>15575002</v>
      </c>
      <c r="B227" s="3" t="s">
        <v>14</v>
      </c>
      <c r="C227" s="4">
        <v>60000</v>
      </c>
      <c r="D227" s="5">
        <v>35</v>
      </c>
      <c r="E227" s="5">
        <v>0</v>
      </c>
      <c r="F227" s="5">
        <f>IF(G227&gt;=Modelo!$B$10,1,0)</f>
        <v>0</v>
      </c>
      <c r="G227" s="6">
        <f>1/(1+EXP(-(Modelo!$B$5+Modelo!$B$6*D227+Modelo!$B$7*C227+Modelo!$B$8*IF(B227="Male",1,0))))</f>
        <v>9.5228210977448796E-2</v>
      </c>
      <c r="H227" s="6">
        <f t="shared" si="6"/>
        <v>0.90477178902255118</v>
      </c>
      <c r="I227" s="5" t="str">
        <f t="shared" si="7"/>
        <v>Sí</v>
      </c>
      <c r="J227" s="5" t="s">
        <v>13</v>
      </c>
    </row>
    <row r="228" spans="1:10" x14ac:dyDescent="0.25">
      <c r="A228" s="7">
        <v>15622171</v>
      </c>
      <c r="B228" s="8" t="s">
        <v>11</v>
      </c>
      <c r="C228" s="9">
        <v>53000</v>
      </c>
      <c r="D228" s="10">
        <v>37</v>
      </c>
      <c r="E228" s="10">
        <v>0</v>
      </c>
      <c r="F228" s="10">
        <f>IF(G228&gt;=Modelo!$B$10,1,0)</f>
        <v>0</v>
      </c>
      <c r="G228" s="11">
        <f>1/(1+EXP(-(Modelo!$B$5+Modelo!$B$6*D228+Modelo!$B$7*C228+Modelo!$B$8*IF(B228="Male",1,0))))</f>
        <v>0.1438165901390607</v>
      </c>
      <c r="H228" s="11">
        <f t="shared" si="6"/>
        <v>0.85618340986093933</v>
      </c>
      <c r="I228" s="10" t="str">
        <f t="shared" si="7"/>
        <v>Sí</v>
      </c>
      <c r="J228" s="10" t="s">
        <v>13</v>
      </c>
    </row>
    <row r="229" spans="1:10" x14ac:dyDescent="0.25">
      <c r="A229" s="2">
        <v>15795224</v>
      </c>
      <c r="B229" s="3" t="s">
        <v>14</v>
      </c>
      <c r="C229" s="4">
        <v>126000</v>
      </c>
      <c r="D229" s="5">
        <v>36</v>
      </c>
      <c r="E229" s="5">
        <v>1</v>
      </c>
      <c r="F229" s="5">
        <f>IF(G229&gt;=Modelo!$B$10,1,0)</f>
        <v>1</v>
      </c>
      <c r="G229" s="6">
        <f>1/(1+EXP(-(Modelo!$B$5+Modelo!$B$6*D229+Modelo!$B$7*C229+Modelo!$B$8*IF(B229="Male",1,0))))</f>
        <v>0.63862977819659184</v>
      </c>
      <c r="H229" s="6">
        <f t="shared" si="6"/>
        <v>0.63862977819659184</v>
      </c>
      <c r="I229" s="5" t="str">
        <f t="shared" si="7"/>
        <v>Sí</v>
      </c>
      <c r="J229" s="5" t="s">
        <v>12</v>
      </c>
    </row>
    <row r="230" spans="1:10" x14ac:dyDescent="0.25">
      <c r="A230" s="7">
        <v>15685346</v>
      </c>
      <c r="B230" s="8" t="s">
        <v>11</v>
      </c>
      <c r="C230" s="9">
        <v>133000</v>
      </c>
      <c r="D230" s="10">
        <v>56</v>
      </c>
      <c r="E230" s="10">
        <v>1</v>
      </c>
      <c r="F230" s="10">
        <f>IF(G230&gt;=Modelo!$B$10,1,0)</f>
        <v>1</v>
      </c>
      <c r="G230" s="11">
        <f>1/(1+EXP(-(Modelo!$B$5+Modelo!$B$6*D230+Modelo!$B$7*C230+Modelo!$B$8*IF(B230="Male",1,0))))</f>
        <v>0.99655466713538154</v>
      </c>
      <c r="H230" s="11">
        <f t="shared" si="6"/>
        <v>0.99655466713538154</v>
      </c>
      <c r="I230" s="10" t="str">
        <f t="shared" si="7"/>
        <v>Sí</v>
      </c>
      <c r="J230" s="10" t="s">
        <v>13</v>
      </c>
    </row>
    <row r="231" spans="1:10" x14ac:dyDescent="0.25">
      <c r="A231" s="2">
        <v>15691808</v>
      </c>
      <c r="B231" s="3" t="s">
        <v>14</v>
      </c>
      <c r="C231" s="4">
        <v>72000</v>
      </c>
      <c r="D231" s="5">
        <v>40</v>
      </c>
      <c r="E231" s="5">
        <v>0</v>
      </c>
      <c r="F231" s="5">
        <f>IF(G231&gt;=Modelo!$B$10,1,0)</f>
        <v>0</v>
      </c>
      <c r="G231" s="6">
        <f>1/(1+EXP(-(Modelo!$B$5+Modelo!$B$6*D231+Modelo!$B$7*C231+Modelo!$B$8*IF(B231="Male",1,0))))</f>
        <v>0.34380716055741173</v>
      </c>
      <c r="H231" s="6">
        <f t="shared" si="6"/>
        <v>0.65619283944258822</v>
      </c>
      <c r="I231" s="5" t="str">
        <f t="shared" si="7"/>
        <v>Sí</v>
      </c>
      <c r="J231" s="5" t="s">
        <v>13</v>
      </c>
    </row>
    <row r="232" spans="1:10" x14ac:dyDescent="0.25">
      <c r="A232" s="7">
        <v>15721007</v>
      </c>
      <c r="B232" s="8" t="s">
        <v>14</v>
      </c>
      <c r="C232" s="9">
        <v>80000</v>
      </c>
      <c r="D232" s="10">
        <v>42</v>
      </c>
      <c r="E232" s="10">
        <v>1</v>
      </c>
      <c r="F232" s="10">
        <f>IF(G232&gt;=Modelo!$B$10,1,0)</f>
        <v>1</v>
      </c>
      <c r="G232" s="11">
        <f>1/(1+EXP(-(Modelo!$B$5+Modelo!$B$6*D232+Modelo!$B$7*C232+Modelo!$B$8*IF(B232="Male",1,0))))</f>
        <v>0.53031689113111846</v>
      </c>
      <c r="H232" s="11">
        <f t="shared" si="6"/>
        <v>0.53031689113111846</v>
      </c>
      <c r="I232" s="10" t="str">
        <f t="shared" si="7"/>
        <v>Sí</v>
      </c>
      <c r="J232" s="10" t="s">
        <v>12</v>
      </c>
    </row>
    <row r="233" spans="1:10" x14ac:dyDescent="0.25">
      <c r="A233" s="2">
        <v>15794253</v>
      </c>
      <c r="B233" s="3" t="s">
        <v>14</v>
      </c>
      <c r="C233" s="4">
        <v>147000</v>
      </c>
      <c r="D233" s="5">
        <v>35</v>
      </c>
      <c r="E233" s="5">
        <v>1</v>
      </c>
      <c r="F233" s="5">
        <f>IF(G233&gt;=Modelo!$B$10,1,0)</f>
        <v>1</v>
      </c>
      <c r="G233" s="6">
        <f>1/(1+EXP(-(Modelo!$B$5+Modelo!$B$6*D233+Modelo!$B$7*C233+Modelo!$B$8*IF(B233="Male",1,0))))</f>
        <v>0.76281247954112741</v>
      </c>
      <c r="H233" s="6">
        <f t="shared" si="6"/>
        <v>0.76281247954112741</v>
      </c>
      <c r="I233" s="5" t="str">
        <f t="shared" si="7"/>
        <v>Sí</v>
      </c>
      <c r="J233" s="5" t="s">
        <v>12</v>
      </c>
    </row>
    <row r="234" spans="1:10" x14ac:dyDescent="0.25">
      <c r="A234" s="7">
        <v>15694453</v>
      </c>
      <c r="B234" s="8" t="s">
        <v>11</v>
      </c>
      <c r="C234" s="9">
        <v>42000</v>
      </c>
      <c r="D234" s="10">
        <v>39</v>
      </c>
      <c r="E234" s="10">
        <v>0</v>
      </c>
      <c r="F234" s="10">
        <f>IF(G234&gt;=Modelo!$B$10,1,0)</f>
        <v>0</v>
      </c>
      <c r="G234" s="11">
        <f>1/(1+EXP(-(Modelo!$B$5+Modelo!$B$6*D234+Modelo!$B$7*C234+Modelo!$B$8*IF(B234="Male",1,0))))</f>
        <v>0.14642030110817614</v>
      </c>
      <c r="H234" s="11">
        <f t="shared" si="6"/>
        <v>0.85357969889182383</v>
      </c>
      <c r="I234" s="10" t="str">
        <f t="shared" si="7"/>
        <v>Sí</v>
      </c>
      <c r="J234" s="10" t="s">
        <v>12</v>
      </c>
    </row>
    <row r="235" spans="1:10" x14ac:dyDescent="0.25">
      <c r="A235" s="2">
        <v>15813113</v>
      </c>
      <c r="B235" s="3" t="s">
        <v>11</v>
      </c>
      <c r="C235" s="4">
        <v>107000</v>
      </c>
      <c r="D235" s="5">
        <v>40</v>
      </c>
      <c r="E235" s="5">
        <v>1</v>
      </c>
      <c r="F235" s="5">
        <f>IF(G235&gt;=Modelo!$B$10,1,0)</f>
        <v>1</v>
      </c>
      <c r="G235" s="6">
        <f>1/(1+EXP(-(Modelo!$B$5+Modelo!$B$6*D235+Modelo!$B$7*C235+Modelo!$B$8*IF(B235="Male",1,0))))</f>
        <v>0.7346930651591288</v>
      </c>
      <c r="H235" s="6">
        <f t="shared" si="6"/>
        <v>0.7346930651591288</v>
      </c>
      <c r="I235" s="5" t="str">
        <f t="shared" si="7"/>
        <v>Sí</v>
      </c>
      <c r="J235" s="5" t="s">
        <v>13</v>
      </c>
    </row>
    <row r="236" spans="1:10" x14ac:dyDescent="0.25">
      <c r="A236" s="7">
        <v>15614187</v>
      </c>
      <c r="B236" s="8" t="s">
        <v>11</v>
      </c>
      <c r="C236" s="9">
        <v>86000</v>
      </c>
      <c r="D236" s="10">
        <v>49</v>
      </c>
      <c r="E236" s="10">
        <v>1</v>
      </c>
      <c r="F236" s="10">
        <f>IF(G236&gt;=Modelo!$B$10,1,0)</f>
        <v>1</v>
      </c>
      <c r="G236" s="11">
        <f>1/(1+EXP(-(Modelo!$B$5+Modelo!$B$6*D236+Modelo!$B$7*C236+Modelo!$B$8*IF(B236="Male",1,0))))</f>
        <v>0.90319285605590993</v>
      </c>
      <c r="H236" s="11">
        <f t="shared" si="6"/>
        <v>0.90319285605590993</v>
      </c>
      <c r="I236" s="10" t="str">
        <f t="shared" si="7"/>
        <v>Sí</v>
      </c>
      <c r="J236" s="10" t="s">
        <v>12</v>
      </c>
    </row>
    <row r="237" spans="1:10" x14ac:dyDescent="0.25">
      <c r="A237" s="2">
        <v>15619407</v>
      </c>
      <c r="B237" s="3" t="s">
        <v>14</v>
      </c>
      <c r="C237" s="4">
        <v>112000</v>
      </c>
      <c r="D237" s="5">
        <v>38</v>
      </c>
      <c r="E237" s="5">
        <v>0</v>
      </c>
      <c r="F237" s="5">
        <f>IF(G237&gt;=Modelo!$B$10,1,0)</f>
        <v>1</v>
      </c>
      <c r="G237" s="6">
        <f>1/(1+EXP(-(Modelo!$B$5+Modelo!$B$6*D237+Modelo!$B$7*C237+Modelo!$B$8*IF(B237="Male",1,0))))</f>
        <v>0.61597387246639157</v>
      </c>
      <c r="H237" s="6">
        <f t="shared" si="6"/>
        <v>0.61597387246639157</v>
      </c>
      <c r="I237" s="5" t="str">
        <f t="shared" si="7"/>
        <v>No</v>
      </c>
      <c r="J237" s="5" t="s">
        <v>13</v>
      </c>
    </row>
    <row r="238" spans="1:10" x14ac:dyDescent="0.25">
      <c r="A238" s="7">
        <v>15646227</v>
      </c>
      <c r="B238" s="8" t="s">
        <v>11</v>
      </c>
      <c r="C238" s="9">
        <v>79000</v>
      </c>
      <c r="D238" s="10">
        <v>46</v>
      </c>
      <c r="E238" s="10">
        <v>1</v>
      </c>
      <c r="F238" s="10">
        <f>IF(G238&gt;=Modelo!$B$10,1,0)</f>
        <v>1</v>
      </c>
      <c r="G238" s="11">
        <f>1/(1+EXP(-(Modelo!$B$5+Modelo!$B$6*D238+Modelo!$B$7*C238+Modelo!$B$8*IF(B238="Male",1,0))))</f>
        <v>0.7821188108035324</v>
      </c>
      <c r="H238" s="11">
        <f t="shared" si="6"/>
        <v>0.7821188108035324</v>
      </c>
      <c r="I238" s="10" t="str">
        <f t="shared" si="7"/>
        <v>Sí</v>
      </c>
      <c r="J238" s="10" t="s">
        <v>12</v>
      </c>
    </row>
    <row r="239" spans="1:10" x14ac:dyDescent="0.25">
      <c r="A239" s="2">
        <v>15660541</v>
      </c>
      <c r="B239" s="3" t="s">
        <v>11</v>
      </c>
      <c r="C239" s="4">
        <v>57000</v>
      </c>
      <c r="D239" s="5">
        <v>40</v>
      </c>
      <c r="E239" s="5">
        <v>0</v>
      </c>
      <c r="F239" s="5">
        <f>IF(G239&gt;=Modelo!$B$10,1,0)</f>
        <v>0</v>
      </c>
      <c r="G239" s="6">
        <f>1/(1+EXP(-(Modelo!$B$5+Modelo!$B$6*D239+Modelo!$B$7*C239+Modelo!$B$8*IF(B239="Male",1,0))))</f>
        <v>0.2795482826912109</v>
      </c>
      <c r="H239" s="6">
        <f t="shared" si="6"/>
        <v>0.7204517173087891</v>
      </c>
      <c r="I239" s="5" t="str">
        <f t="shared" si="7"/>
        <v>Sí</v>
      </c>
      <c r="J239" s="5" t="s">
        <v>12</v>
      </c>
    </row>
    <row r="240" spans="1:10" x14ac:dyDescent="0.25">
      <c r="A240" s="7">
        <v>15753874</v>
      </c>
      <c r="B240" s="8" t="s">
        <v>14</v>
      </c>
      <c r="C240" s="9">
        <v>80000</v>
      </c>
      <c r="D240" s="10">
        <v>37</v>
      </c>
      <c r="E240" s="10">
        <v>0</v>
      </c>
      <c r="F240" s="10">
        <f>IF(G240&gt;=Modelo!$B$10,1,0)</f>
        <v>0</v>
      </c>
      <c r="G240" s="11">
        <f>1/(1+EXP(-(Modelo!$B$5+Modelo!$B$6*D240+Modelo!$B$7*C240+Modelo!$B$8*IF(B240="Male",1,0))))</f>
        <v>0.26659807147648446</v>
      </c>
      <c r="H240" s="11">
        <f t="shared" si="6"/>
        <v>0.7334019285235156</v>
      </c>
      <c r="I240" s="10" t="str">
        <f t="shared" si="7"/>
        <v>Sí</v>
      </c>
      <c r="J240" s="10" t="s">
        <v>12</v>
      </c>
    </row>
    <row r="241" spans="1:10" x14ac:dyDescent="0.25">
      <c r="A241" s="2">
        <v>15617877</v>
      </c>
      <c r="B241" s="3" t="s">
        <v>14</v>
      </c>
      <c r="C241" s="4">
        <v>82000</v>
      </c>
      <c r="D241" s="5">
        <v>46</v>
      </c>
      <c r="E241" s="5">
        <v>0</v>
      </c>
      <c r="F241" s="5">
        <f>IF(G241&gt;=Modelo!$B$10,1,0)</f>
        <v>1</v>
      </c>
      <c r="G241" s="6">
        <f>1/(1+EXP(-(Modelo!$B$5+Modelo!$B$6*D241+Modelo!$B$7*C241+Modelo!$B$8*IF(B241="Male",1,0))))</f>
        <v>0.75151745407525905</v>
      </c>
      <c r="H241" s="6">
        <f t="shared" si="6"/>
        <v>0.75151745407525905</v>
      </c>
      <c r="I241" s="5" t="str">
        <f t="shared" si="7"/>
        <v>No</v>
      </c>
      <c r="J241" s="5" t="s">
        <v>12</v>
      </c>
    </row>
    <row r="242" spans="1:10" x14ac:dyDescent="0.25">
      <c r="A242" s="7">
        <v>15772073</v>
      </c>
      <c r="B242" s="8" t="s">
        <v>14</v>
      </c>
      <c r="C242" s="9">
        <v>143000</v>
      </c>
      <c r="D242" s="10">
        <v>53</v>
      </c>
      <c r="E242" s="10">
        <v>1</v>
      </c>
      <c r="F242" s="10">
        <f>IF(G242&gt;=Modelo!$B$10,1,0)</f>
        <v>1</v>
      </c>
      <c r="G242" s="11">
        <f>1/(1+EXP(-(Modelo!$B$5+Modelo!$B$6*D242+Modelo!$B$7*C242+Modelo!$B$8*IF(B242="Male",1,0))))</f>
        <v>0.99388614563127853</v>
      </c>
      <c r="H242" s="11">
        <f t="shared" si="6"/>
        <v>0.99388614563127853</v>
      </c>
      <c r="I242" s="10" t="str">
        <f t="shared" si="7"/>
        <v>Sí</v>
      </c>
      <c r="J242" s="10" t="s">
        <v>12</v>
      </c>
    </row>
    <row r="243" spans="1:10" x14ac:dyDescent="0.25">
      <c r="A243" s="2">
        <v>15701537</v>
      </c>
      <c r="B243" s="3" t="s">
        <v>11</v>
      </c>
      <c r="C243" s="4">
        <v>149000</v>
      </c>
      <c r="D243" s="5">
        <v>42</v>
      </c>
      <c r="E243" s="5">
        <v>1</v>
      </c>
      <c r="F243" s="5">
        <f>IF(G243&gt;=Modelo!$B$10,1,0)</f>
        <v>1</v>
      </c>
      <c r="G243" s="6">
        <f>1/(1+EXP(-(Modelo!$B$5+Modelo!$B$6*D243+Modelo!$B$7*C243+Modelo!$B$8*IF(B243="Male",1,0))))</f>
        <v>0.95782100147400684</v>
      </c>
      <c r="H243" s="6">
        <f t="shared" si="6"/>
        <v>0.95782100147400684</v>
      </c>
      <c r="I243" s="5" t="str">
        <f t="shared" si="7"/>
        <v>Sí</v>
      </c>
      <c r="J243" s="5" t="s">
        <v>12</v>
      </c>
    </row>
    <row r="244" spans="1:10" x14ac:dyDescent="0.25">
      <c r="A244" s="7">
        <v>15736228</v>
      </c>
      <c r="B244" s="8" t="s">
        <v>11</v>
      </c>
      <c r="C244" s="9">
        <v>59000</v>
      </c>
      <c r="D244" s="10">
        <v>38</v>
      </c>
      <c r="E244" s="10">
        <v>0</v>
      </c>
      <c r="F244" s="10">
        <f>IF(G244&gt;=Modelo!$B$10,1,0)</f>
        <v>0</v>
      </c>
      <c r="G244" s="11">
        <f>1/(1+EXP(-(Modelo!$B$5+Modelo!$B$6*D244+Modelo!$B$7*C244+Modelo!$B$8*IF(B244="Male",1,0))))</f>
        <v>0.21057882957085591</v>
      </c>
      <c r="H244" s="11">
        <f t="shared" si="6"/>
        <v>0.78942117042914406</v>
      </c>
      <c r="I244" s="10" t="str">
        <f t="shared" si="7"/>
        <v>Sí</v>
      </c>
      <c r="J244" s="10" t="s">
        <v>12</v>
      </c>
    </row>
    <row r="245" spans="1:10" x14ac:dyDescent="0.25">
      <c r="A245" s="2">
        <v>15780572</v>
      </c>
      <c r="B245" s="3" t="s">
        <v>14</v>
      </c>
      <c r="C245" s="4">
        <v>88000</v>
      </c>
      <c r="D245" s="5">
        <v>50</v>
      </c>
      <c r="E245" s="5">
        <v>1</v>
      </c>
      <c r="F245" s="5">
        <f>IF(G245&gt;=Modelo!$B$10,1,0)</f>
        <v>1</v>
      </c>
      <c r="G245" s="6">
        <f>1/(1+EXP(-(Modelo!$B$5+Modelo!$B$6*D245+Modelo!$B$7*C245+Modelo!$B$8*IF(B245="Male",1,0))))</f>
        <v>0.90458570607302702</v>
      </c>
      <c r="H245" s="6">
        <f t="shared" si="6"/>
        <v>0.90458570607302702</v>
      </c>
      <c r="I245" s="5" t="str">
        <f t="shared" si="7"/>
        <v>Sí</v>
      </c>
      <c r="J245" s="5" t="s">
        <v>12</v>
      </c>
    </row>
    <row r="246" spans="1:10" x14ac:dyDescent="0.25">
      <c r="A246" s="7">
        <v>15769596</v>
      </c>
      <c r="B246" s="8" t="s">
        <v>14</v>
      </c>
      <c r="C246" s="9">
        <v>104000</v>
      </c>
      <c r="D246" s="10">
        <v>56</v>
      </c>
      <c r="E246" s="10">
        <v>1</v>
      </c>
      <c r="F246" s="10">
        <f>IF(G246&gt;=Modelo!$B$10,1,0)</f>
        <v>1</v>
      </c>
      <c r="G246" s="11">
        <f>1/(1+EXP(-(Modelo!$B$5+Modelo!$B$6*D246+Modelo!$B$7*C246+Modelo!$B$8*IF(B246="Male",1,0))))</f>
        <v>0.98577148514282165</v>
      </c>
      <c r="H246" s="11">
        <f t="shared" si="6"/>
        <v>0.98577148514282165</v>
      </c>
      <c r="I246" s="10" t="str">
        <f t="shared" si="7"/>
        <v>Sí</v>
      </c>
      <c r="J246" s="10" t="s">
        <v>13</v>
      </c>
    </row>
    <row r="247" spans="1:10" x14ac:dyDescent="0.25">
      <c r="A247" s="2">
        <v>15586996</v>
      </c>
      <c r="B247" s="3" t="s">
        <v>14</v>
      </c>
      <c r="C247" s="4">
        <v>72000</v>
      </c>
      <c r="D247" s="5">
        <v>41</v>
      </c>
      <c r="E247" s="5">
        <v>0</v>
      </c>
      <c r="F247" s="5">
        <f>IF(G247&gt;=Modelo!$B$10,1,0)</f>
        <v>0</v>
      </c>
      <c r="G247" s="6">
        <f>1/(1+EXP(-(Modelo!$B$5+Modelo!$B$6*D247+Modelo!$B$7*C247+Modelo!$B$8*IF(B247="Male",1,0))))</f>
        <v>0.39658850510498728</v>
      </c>
      <c r="H247" s="6">
        <f t="shared" si="6"/>
        <v>0.60341149489501267</v>
      </c>
      <c r="I247" s="5" t="str">
        <f t="shared" si="7"/>
        <v>Sí</v>
      </c>
      <c r="J247" s="5" t="s">
        <v>12</v>
      </c>
    </row>
    <row r="248" spans="1:10" x14ac:dyDescent="0.25">
      <c r="A248" s="7">
        <v>15722061</v>
      </c>
      <c r="B248" s="8" t="s">
        <v>14</v>
      </c>
      <c r="C248" s="9">
        <v>146000</v>
      </c>
      <c r="D248" s="10">
        <v>51</v>
      </c>
      <c r="E248" s="10">
        <v>1</v>
      </c>
      <c r="F248" s="10">
        <f>IF(G248&gt;=Modelo!$B$10,1,0)</f>
        <v>1</v>
      </c>
      <c r="G248" s="11">
        <f>1/(1+EXP(-(Modelo!$B$5+Modelo!$B$6*D248+Modelo!$B$7*C248+Modelo!$B$8*IF(B248="Male",1,0))))</f>
        <v>0.99147029402546805</v>
      </c>
      <c r="H248" s="11">
        <f t="shared" si="6"/>
        <v>0.99147029402546805</v>
      </c>
      <c r="I248" s="10" t="str">
        <f t="shared" si="7"/>
        <v>Sí</v>
      </c>
      <c r="J248" s="10" t="s">
        <v>12</v>
      </c>
    </row>
    <row r="249" spans="1:10" x14ac:dyDescent="0.25">
      <c r="A249" s="2">
        <v>15638003</v>
      </c>
      <c r="B249" s="3" t="s">
        <v>14</v>
      </c>
      <c r="C249" s="4">
        <v>50000</v>
      </c>
      <c r="D249" s="5">
        <v>35</v>
      </c>
      <c r="E249" s="5">
        <v>0</v>
      </c>
      <c r="F249" s="5">
        <f>IF(G249&gt;=Modelo!$B$10,1,0)</f>
        <v>0</v>
      </c>
      <c r="G249" s="6">
        <f>1/(1+EXP(-(Modelo!$B$5+Modelo!$B$6*D249+Modelo!$B$7*C249+Modelo!$B$8*IF(B249="Male",1,0))))</f>
        <v>6.6331269705227361E-2</v>
      </c>
      <c r="H249" s="6">
        <f t="shared" si="6"/>
        <v>0.9336687302947726</v>
      </c>
      <c r="I249" s="5" t="str">
        <f t="shared" si="7"/>
        <v>Sí</v>
      </c>
      <c r="J249" s="5" t="s">
        <v>12</v>
      </c>
    </row>
    <row r="250" spans="1:10" x14ac:dyDescent="0.25">
      <c r="A250" s="7">
        <v>15775590</v>
      </c>
      <c r="B250" s="8" t="s">
        <v>14</v>
      </c>
      <c r="C250" s="9">
        <v>122000</v>
      </c>
      <c r="D250" s="10">
        <v>57</v>
      </c>
      <c r="E250" s="10">
        <v>1</v>
      </c>
      <c r="F250" s="10">
        <f>IF(G250&gt;=Modelo!$B$10,1,0)</f>
        <v>1</v>
      </c>
      <c r="G250" s="11">
        <f>1/(1+EXP(-(Modelo!$B$5+Modelo!$B$6*D250+Modelo!$B$7*C250+Modelo!$B$8*IF(B250="Male",1,0))))</f>
        <v>0.99436073847967466</v>
      </c>
      <c r="H250" s="11">
        <f t="shared" si="6"/>
        <v>0.99436073847967466</v>
      </c>
      <c r="I250" s="10" t="str">
        <f t="shared" si="7"/>
        <v>Sí</v>
      </c>
      <c r="J250" s="10" t="s">
        <v>12</v>
      </c>
    </row>
    <row r="251" spans="1:10" x14ac:dyDescent="0.25">
      <c r="A251" s="2">
        <v>15730688</v>
      </c>
      <c r="B251" s="3" t="s">
        <v>11</v>
      </c>
      <c r="C251" s="4">
        <v>52000</v>
      </c>
      <c r="D251" s="5">
        <v>41</v>
      </c>
      <c r="E251" s="5">
        <v>0</v>
      </c>
      <c r="F251" s="5">
        <f>IF(G251&gt;=Modelo!$B$10,1,0)</f>
        <v>0</v>
      </c>
      <c r="G251" s="6">
        <f>1/(1+EXP(-(Modelo!$B$5+Modelo!$B$6*D251+Modelo!$B$7*C251+Modelo!$B$8*IF(B251="Male",1,0))))</f>
        <v>0.28566002759351689</v>
      </c>
      <c r="H251" s="6">
        <f t="shared" si="6"/>
        <v>0.71433997240648317</v>
      </c>
      <c r="I251" s="5" t="str">
        <f t="shared" si="7"/>
        <v>Sí</v>
      </c>
      <c r="J251" s="5" t="s">
        <v>12</v>
      </c>
    </row>
    <row r="252" spans="1:10" x14ac:dyDescent="0.25">
      <c r="A252" s="7">
        <v>15753102</v>
      </c>
      <c r="B252" s="8" t="s">
        <v>14</v>
      </c>
      <c r="C252" s="9">
        <v>97000</v>
      </c>
      <c r="D252" s="10">
        <v>35</v>
      </c>
      <c r="E252" s="10">
        <v>1</v>
      </c>
      <c r="F252" s="10">
        <f>IF(G252&gt;=Modelo!$B$10,1,0)</f>
        <v>0</v>
      </c>
      <c r="G252" s="11">
        <f>1/(1+EXP(-(Modelo!$B$5+Modelo!$B$6*D252+Modelo!$B$7*C252+Modelo!$B$8*IF(B252="Male",1,0))))</f>
        <v>0.31064456900679449</v>
      </c>
      <c r="H252" s="11">
        <f t="shared" si="6"/>
        <v>0.68935543099320551</v>
      </c>
      <c r="I252" s="10" t="str">
        <f t="shared" si="7"/>
        <v>No</v>
      </c>
      <c r="J252" s="10" t="s">
        <v>12</v>
      </c>
    </row>
    <row r="253" spans="1:10" x14ac:dyDescent="0.25">
      <c r="A253" s="2">
        <v>15810075</v>
      </c>
      <c r="B253" s="3" t="s">
        <v>14</v>
      </c>
      <c r="C253" s="4">
        <v>39000</v>
      </c>
      <c r="D253" s="5">
        <v>44</v>
      </c>
      <c r="E253" s="5">
        <v>0</v>
      </c>
      <c r="F253" s="5">
        <f>IF(G253&gt;=Modelo!$B$10,1,0)</f>
        <v>0</v>
      </c>
      <c r="G253" s="6">
        <f>1/(1+EXP(-(Modelo!$B$5+Modelo!$B$6*D253+Modelo!$B$7*C253+Modelo!$B$8*IF(B253="Male",1,0))))</f>
        <v>0.26177629168846561</v>
      </c>
      <c r="H253" s="6">
        <f t="shared" si="6"/>
        <v>0.73822370831153439</v>
      </c>
      <c r="I253" s="5" t="str">
        <f t="shared" si="7"/>
        <v>Sí</v>
      </c>
      <c r="J253" s="5" t="s">
        <v>12</v>
      </c>
    </row>
    <row r="254" spans="1:10" x14ac:dyDescent="0.25">
      <c r="A254" s="7">
        <v>15723373</v>
      </c>
      <c r="B254" s="8" t="s">
        <v>11</v>
      </c>
      <c r="C254" s="9">
        <v>52000</v>
      </c>
      <c r="D254" s="10">
        <v>37</v>
      </c>
      <c r="E254" s="10">
        <v>0</v>
      </c>
      <c r="F254" s="10">
        <f>IF(G254&gt;=Modelo!$B$10,1,0)</f>
        <v>0</v>
      </c>
      <c r="G254" s="11">
        <f>1/(1+EXP(-(Modelo!$B$5+Modelo!$B$6*D254+Modelo!$B$7*C254+Modelo!$B$8*IF(B254="Male",1,0))))</f>
        <v>0.13904421371807882</v>
      </c>
      <c r="H254" s="11">
        <f t="shared" si="6"/>
        <v>0.86095578628192115</v>
      </c>
      <c r="I254" s="10" t="str">
        <f t="shared" si="7"/>
        <v>Sí</v>
      </c>
      <c r="J254" s="10" t="s">
        <v>12</v>
      </c>
    </row>
    <row r="255" spans="1:10" x14ac:dyDescent="0.25">
      <c r="A255" s="2">
        <v>15795298</v>
      </c>
      <c r="B255" s="3" t="s">
        <v>14</v>
      </c>
      <c r="C255" s="4">
        <v>134000</v>
      </c>
      <c r="D255" s="5">
        <v>48</v>
      </c>
      <c r="E255" s="5">
        <v>1</v>
      </c>
      <c r="F255" s="5">
        <f>IF(G255&gt;=Modelo!$B$10,1,0)</f>
        <v>1</v>
      </c>
      <c r="G255" s="6">
        <f>1/(1+EXP(-(Modelo!$B$5+Modelo!$B$6*D255+Modelo!$B$7*C255+Modelo!$B$8*IF(B255="Male",1,0))))</f>
        <v>0.97350504466099363</v>
      </c>
      <c r="H255" s="6">
        <f t="shared" si="6"/>
        <v>0.97350504466099363</v>
      </c>
      <c r="I255" s="5" t="str">
        <f t="shared" si="7"/>
        <v>Sí</v>
      </c>
      <c r="J255" s="5" t="s">
        <v>12</v>
      </c>
    </row>
    <row r="256" spans="1:10" x14ac:dyDescent="0.25">
      <c r="A256" s="7">
        <v>15584320</v>
      </c>
      <c r="B256" s="8" t="s">
        <v>14</v>
      </c>
      <c r="C256" s="9">
        <v>146000</v>
      </c>
      <c r="D256" s="10">
        <v>37</v>
      </c>
      <c r="E256" s="10">
        <v>1</v>
      </c>
      <c r="F256" s="10">
        <f>IF(G256&gt;=Modelo!$B$10,1,0)</f>
        <v>1</v>
      </c>
      <c r="G256" s="11">
        <f>1/(1+EXP(-(Modelo!$B$5+Modelo!$B$6*D256+Modelo!$B$7*C256+Modelo!$B$8*IF(B256="Male",1,0))))</f>
        <v>0.82951630307049939</v>
      </c>
      <c r="H256" s="11">
        <f t="shared" si="6"/>
        <v>0.82951630307049939</v>
      </c>
      <c r="I256" s="10" t="str">
        <f t="shared" si="7"/>
        <v>Sí</v>
      </c>
      <c r="J256" s="10" t="s">
        <v>12</v>
      </c>
    </row>
    <row r="257" spans="1:10" x14ac:dyDescent="0.25">
      <c r="A257" s="2">
        <v>15724161</v>
      </c>
      <c r="B257" s="3" t="s">
        <v>14</v>
      </c>
      <c r="C257" s="4">
        <v>44000</v>
      </c>
      <c r="D257" s="5">
        <v>50</v>
      </c>
      <c r="E257" s="5">
        <v>0</v>
      </c>
      <c r="F257" s="5">
        <f>IF(G257&gt;=Modelo!$B$10,1,0)</f>
        <v>1</v>
      </c>
      <c r="G257" s="6">
        <f>1/(1+EXP(-(Modelo!$B$5+Modelo!$B$6*D257+Modelo!$B$7*C257+Modelo!$B$8*IF(B257="Male",1,0))))</f>
        <v>0.6271038331617087</v>
      </c>
      <c r="H257" s="6">
        <f t="shared" si="6"/>
        <v>0.6271038331617087</v>
      </c>
      <c r="I257" s="5" t="str">
        <f t="shared" si="7"/>
        <v>No</v>
      </c>
      <c r="J257" s="5" t="s">
        <v>12</v>
      </c>
    </row>
    <row r="258" spans="1:10" x14ac:dyDescent="0.25">
      <c r="A258" s="7">
        <v>15750056</v>
      </c>
      <c r="B258" s="8" t="s">
        <v>14</v>
      </c>
      <c r="C258" s="9">
        <v>90000</v>
      </c>
      <c r="D258" s="10">
        <v>52</v>
      </c>
      <c r="E258" s="10">
        <v>1</v>
      </c>
      <c r="F258" s="10">
        <f>IF(G258&gt;=Modelo!$B$10,1,0)</f>
        <v>1</v>
      </c>
      <c r="G258" s="11">
        <f>1/(1+EXP(-(Modelo!$B$5+Modelo!$B$6*D258+Modelo!$B$7*C258+Modelo!$B$8*IF(B258="Male",1,0))))</f>
        <v>0.9416517800848756</v>
      </c>
      <c r="H258" s="11">
        <f t="shared" si="6"/>
        <v>0.9416517800848756</v>
      </c>
      <c r="I258" s="10" t="str">
        <f t="shared" si="7"/>
        <v>Sí</v>
      </c>
      <c r="J258" s="10" t="s">
        <v>12</v>
      </c>
    </row>
    <row r="259" spans="1:10" x14ac:dyDescent="0.25">
      <c r="A259" s="2">
        <v>15609637</v>
      </c>
      <c r="B259" s="3" t="s">
        <v>14</v>
      </c>
      <c r="C259" s="4">
        <v>72000</v>
      </c>
      <c r="D259" s="5">
        <v>41</v>
      </c>
      <c r="E259" s="5">
        <v>0</v>
      </c>
      <c r="F259" s="5">
        <f>IF(G259&gt;=Modelo!$B$10,1,0)</f>
        <v>0</v>
      </c>
      <c r="G259" s="6">
        <f>1/(1+EXP(-(Modelo!$B$5+Modelo!$B$6*D259+Modelo!$B$7*C259+Modelo!$B$8*IF(B259="Male",1,0))))</f>
        <v>0.39658850510498728</v>
      </c>
      <c r="H259" s="6">
        <f t="shared" ref="H259:H322" si="8">MAX(G259,1-G259)</f>
        <v>0.60341149489501267</v>
      </c>
      <c r="I259" s="5" t="str">
        <f t="shared" ref="I259:I322" si="9">IF(F259=E259,"Sí","No")</f>
        <v>Sí</v>
      </c>
      <c r="J259" s="5" t="s">
        <v>13</v>
      </c>
    </row>
    <row r="260" spans="1:10" x14ac:dyDescent="0.25">
      <c r="A260" s="7">
        <v>15794493</v>
      </c>
      <c r="B260" s="8" t="s">
        <v>11</v>
      </c>
      <c r="C260" s="9">
        <v>57000</v>
      </c>
      <c r="D260" s="10">
        <v>40</v>
      </c>
      <c r="E260" s="10">
        <v>0</v>
      </c>
      <c r="F260" s="10">
        <f>IF(G260&gt;=Modelo!$B$10,1,0)</f>
        <v>0</v>
      </c>
      <c r="G260" s="11">
        <f>1/(1+EXP(-(Modelo!$B$5+Modelo!$B$6*D260+Modelo!$B$7*C260+Modelo!$B$8*IF(B260="Male",1,0))))</f>
        <v>0.2795482826912109</v>
      </c>
      <c r="H260" s="11">
        <f t="shared" si="8"/>
        <v>0.7204517173087891</v>
      </c>
      <c r="I260" s="10" t="str">
        <f t="shared" si="9"/>
        <v>Sí</v>
      </c>
      <c r="J260" s="10" t="s">
        <v>13</v>
      </c>
    </row>
    <row r="261" spans="1:10" x14ac:dyDescent="0.25">
      <c r="A261" s="2">
        <v>15569641</v>
      </c>
      <c r="B261" s="3" t="s">
        <v>14</v>
      </c>
      <c r="C261" s="4">
        <v>95000</v>
      </c>
      <c r="D261" s="5">
        <v>58</v>
      </c>
      <c r="E261" s="5">
        <v>1</v>
      </c>
      <c r="F261" s="5">
        <f>IF(G261&gt;=Modelo!$B$10,1,0)</f>
        <v>1</v>
      </c>
      <c r="G261" s="6">
        <f>1/(1+EXP(-(Modelo!$B$5+Modelo!$B$6*D261+Modelo!$B$7*C261+Modelo!$B$8*IF(B261="Male",1,0))))</f>
        <v>0.98710294613061444</v>
      </c>
      <c r="H261" s="6">
        <f t="shared" si="8"/>
        <v>0.98710294613061444</v>
      </c>
      <c r="I261" s="5" t="str">
        <f t="shared" si="9"/>
        <v>Sí</v>
      </c>
      <c r="J261" s="5" t="s">
        <v>12</v>
      </c>
    </row>
    <row r="262" spans="1:10" x14ac:dyDescent="0.25">
      <c r="A262" s="7">
        <v>15815236</v>
      </c>
      <c r="B262" s="8" t="s">
        <v>14</v>
      </c>
      <c r="C262" s="9">
        <v>131000</v>
      </c>
      <c r="D262" s="10">
        <v>45</v>
      </c>
      <c r="E262" s="10">
        <v>1</v>
      </c>
      <c r="F262" s="10">
        <f>IF(G262&gt;=Modelo!$B$10,1,0)</f>
        <v>1</v>
      </c>
      <c r="G262" s="11">
        <f>1/(1+EXP(-(Modelo!$B$5+Modelo!$B$6*D262+Modelo!$B$7*C262+Modelo!$B$8*IF(B262="Male",1,0))))</f>
        <v>0.94299981642318409</v>
      </c>
      <c r="H262" s="11">
        <f t="shared" si="8"/>
        <v>0.94299981642318409</v>
      </c>
      <c r="I262" s="10" t="str">
        <f t="shared" si="9"/>
        <v>Sí</v>
      </c>
      <c r="J262" s="10" t="s">
        <v>12</v>
      </c>
    </row>
    <row r="263" spans="1:10" x14ac:dyDescent="0.25">
      <c r="A263" s="2">
        <v>15811177</v>
      </c>
      <c r="B263" s="3" t="s">
        <v>14</v>
      </c>
      <c r="C263" s="4">
        <v>77000</v>
      </c>
      <c r="D263" s="5">
        <v>35</v>
      </c>
      <c r="E263" s="5">
        <v>0</v>
      </c>
      <c r="F263" s="5">
        <f>IF(G263&gt;=Modelo!$B$10,1,0)</f>
        <v>0</v>
      </c>
      <c r="G263" s="6">
        <f>1/(1+EXP(-(Modelo!$B$5+Modelo!$B$6*D263+Modelo!$B$7*C263+Modelo!$B$8*IF(B263="Male",1,0))))</f>
        <v>0.1703406237449438</v>
      </c>
      <c r="H263" s="6">
        <f t="shared" si="8"/>
        <v>0.82965937625505615</v>
      </c>
      <c r="I263" s="5" t="str">
        <f t="shared" si="9"/>
        <v>Sí</v>
      </c>
      <c r="J263" s="5" t="s">
        <v>12</v>
      </c>
    </row>
    <row r="264" spans="1:10" x14ac:dyDescent="0.25">
      <c r="A264" s="7">
        <v>15680587</v>
      </c>
      <c r="B264" s="8" t="s">
        <v>11</v>
      </c>
      <c r="C264" s="9">
        <v>144000</v>
      </c>
      <c r="D264" s="10">
        <v>36</v>
      </c>
      <c r="E264" s="10">
        <v>1</v>
      </c>
      <c r="F264" s="10">
        <f>IF(G264&gt;=Modelo!$B$10,1,0)</f>
        <v>1</v>
      </c>
      <c r="G264" s="11">
        <f>1/(1+EXP(-(Modelo!$B$5+Modelo!$B$6*D264+Modelo!$B$7*C264+Modelo!$B$8*IF(B264="Male",1,0))))</f>
        <v>0.82723688930574724</v>
      </c>
      <c r="H264" s="11">
        <f t="shared" si="8"/>
        <v>0.82723688930574724</v>
      </c>
      <c r="I264" s="10" t="str">
        <f t="shared" si="9"/>
        <v>Sí</v>
      </c>
      <c r="J264" s="10" t="s">
        <v>12</v>
      </c>
    </row>
    <row r="265" spans="1:10" x14ac:dyDescent="0.25">
      <c r="A265" s="2">
        <v>15672821</v>
      </c>
      <c r="B265" s="3" t="s">
        <v>14</v>
      </c>
      <c r="C265" s="4">
        <v>125000</v>
      </c>
      <c r="D265" s="5">
        <v>55</v>
      </c>
      <c r="E265" s="5">
        <v>1</v>
      </c>
      <c r="F265" s="5">
        <f>IF(G265&gt;=Modelo!$B$10,1,0)</f>
        <v>1</v>
      </c>
      <c r="G265" s="6">
        <f>1/(1+EXP(-(Modelo!$B$5+Modelo!$B$6*D265+Modelo!$B$7*C265+Modelo!$B$8*IF(B265="Male",1,0))))</f>
        <v>0.99213093450953871</v>
      </c>
      <c r="H265" s="6">
        <f t="shared" si="8"/>
        <v>0.99213093450953871</v>
      </c>
      <c r="I265" s="5" t="str">
        <f t="shared" si="9"/>
        <v>Sí</v>
      </c>
      <c r="J265" s="5" t="s">
        <v>12</v>
      </c>
    </row>
    <row r="266" spans="1:10" x14ac:dyDescent="0.25">
      <c r="A266" s="7">
        <v>15767681</v>
      </c>
      <c r="B266" s="8" t="s">
        <v>14</v>
      </c>
      <c r="C266" s="9">
        <v>72000</v>
      </c>
      <c r="D266" s="10">
        <v>35</v>
      </c>
      <c r="E266" s="10">
        <v>0</v>
      </c>
      <c r="F266" s="10">
        <f>IF(G266&gt;=Modelo!$B$10,1,0)</f>
        <v>0</v>
      </c>
      <c r="G266" s="11">
        <f>1/(1+EXP(-(Modelo!$B$5+Modelo!$B$6*D266+Modelo!$B$7*C266+Modelo!$B$8*IF(B266="Male",1,0))))</f>
        <v>0.14433499429816751</v>
      </c>
      <c r="H266" s="11">
        <f t="shared" si="8"/>
        <v>0.85566500570183246</v>
      </c>
      <c r="I266" s="10" t="str">
        <f t="shared" si="9"/>
        <v>Sí</v>
      </c>
      <c r="J266" s="10" t="s">
        <v>12</v>
      </c>
    </row>
    <row r="267" spans="1:10" x14ac:dyDescent="0.25">
      <c r="A267" s="2">
        <v>15600379</v>
      </c>
      <c r="B267" s="3" t="s">
        <v>11</v>
      </c>
      <c r="C267" s="4">
        <v>90000</v>
      </c>
      <c r="D267" s="5">
        <v>48</v>
      </c>
      <c r="E267" s="5">
        <v>1</v>
      </c>
      <c r="F267" s="5">
        <f>IF(G267&gt;=Modelo!$B$10,1,0)</f>
        <v>1</v>
      </c>
      <c r="G267" s="6">
        <f>1/(1+EXP(-(Modelo!$B$5+Modelo!$B$6*D267+Modelo!$B$7*C267+Modelo!$B$8*IF(B267="Male",1,0))))</f>
        <v>0.89694790722966311</v>
      </c>
      <c r="H267" s="6">
        <f t="shared" si="8"/>
        <v>0.89694790722966311</v>
      </c>
      <c r="I267" s="5" t="str">
        <f t="shared" si="9"/>
        <v>Sí</v>
      </c>
      <c r="J267" s="5" t="s">
        <v>12</v>
      </c>
    </row>
    <row r="268" spans="1:10" x14ac:dyDescent="0.25">
      <c r="A268" s="7">
        <v>15801336</v>
      </c>
      <c r="B268" s="8" t="s">
        <v>14</v>
      </c>
      <c r="C268" s="9">
        <v>108000</v>
      </c>
      <c r="D268" s="10">
        <v>42</v>
      </c>
      <c r="E268" s="10">
        <v>1</v>
      </c>
      <c r="F268" s="10">
        <f>IF(G268&gt;=Modelo!$B$10,1,0)</f>
        <v>1</v>
      </c>
      <c r="G268" s="11">
        <f>1/(1+EXP(-(Modelo!$B$5+Modelo!$B$6*D268+Modelo!$B$7*C268+Modelo!$B$8*IF(B268="Male",1,0))))</f>
        <v>0.77240952434246413</v>
      </c>
      <c r="H268" s="11">
        <f t="shared" si="8"/>
        <v>0.77240952434246413</v>
      </c>
      <c r="I268" s="10" t="str">
        <f t="shared" si="9"/>
        <v>Sí</v>
      </c>
      <c r="J268" s="10" t="s">
        <v>13</v>
      </c>
    </row>
    <row r="269" spans="1:10" x14ac:dyDescent="0.25">
      <c r="A269" s="2">
        <v>15721592</v>
      </c>
      <c r="B269" s="3" t="s">
        <v>11</v>
      </c>
      <c r="C269" s="4">
        <v>75000</v>
      </c>
      <c r="D269" s="5">
        <v>40</v>
      </c>
      <c r="E269" s="5">
        <v>0</v>
      </c>
      <c r="F269" s="5">
        <f>IF(G269&gt;=Modelo!$B$10,1,0)</f>
        <v>0</v>
      </c>
      <c r="G269" s="6">
        <f>1/(1+EXP(-(Modelo!$B$5+Modelo!$B$6*D269+Modelo!$B$7*C269+Modelo!$B$8*IF(B269="Male",1,0))))</f>
        <v>0.44048187799357735</v>
      </c>
      <c r="H269" s="6">
        <f t="shared" si="8"/>
        <v>0.5595181220064227</v>
      </c>
      <c r="I269" s="5" t="str">
        <f t="shared" si="9"/>
        <v>Sí</v>
      </c>
      <c r="J269" s="5" t="s">
        <v>12</v>
      </c>
    </row>
    <row r="270" spans="1:10" x14ac:dyDescent="0.25">
      <c r="A270" s="7">
        <v>15581282</v>
      </c>
      <c r="B270" s="8" t="s">
        <v>11</v>
      </c>
      <c r="C270" s="9">
        <v>74000</v>
      </c>
      <c r="D270" s="10">
        <v>37</v>
      </c>
      <c r="E270" s="10">
        <v>0</v>
      </c>
      <c r="F270" s="10">
        <f>IF(G270&gt;=Modelo!$B$10,1,0)</f>
        <v>0</v>
      </c>
      <c r="G270" s="11">
        <f>1/(1+EXP(-(Modelo!$B$5+Modelo!$B$6*D270+Modelo!$B$7*C270+Modelo!$B$8*IF(B270="Male",1,0))))</f>
        <v>0.27717202538431779</v>
      </c>
      <c r="H270" s="11">
        <f t="shared" si="8"/>
        <v>0.72282797461568227</v>
      </c>
      <c r="I270" s="10" t="str">
        <f t="shared" si="9"/>
        <v>Sí</v>
      </c>
      <c r="J270" s="10" t="s">
        <v>13</v>
      </c>
    </row>
    <row r="271" spans="1:10" x14ac:dyDescent="0.25">
      <c r="A271" s="2">
        <v>15746203</v>
      </c>
      <c r="B271" s="3" t="s">
        <v>14</v>
      </c>
      <c r="C271" s="4">
        <v>144000</v>
      </c>
      <c r="D271" s="5">
        <v>47</v>
      </c>
      <c r="E271" s="5">
        <v>1</v>
      </c>
      <c r="F271" s="5">
        <f>IF(G271&gt;=Modelo!$B$10,1,0)</f>
        <v>1</v>
      </c>
      <c r="G271" s="6">
        <f>1/(1+EXP(-(Modelo!$B$5+Modelo!$B$6*D271+Modelo!$B$7*C271+Modelo!$B$8*IF(B271="Male",1,0))))</f>
        <v>0.97747460056436197</v>
      </c>
      <c r="H271" s="6">
        <f t="shared" si="8"/>
        <v>0.97747460056436197</v>
      </c>
      <c r="I271" s="5" t="str">
        <f t="shared" si="9"/>
        <v>Sí</v>
      </c>
      <c r="J271" s="5" t="s">
        <v>12</v>
      </c>
    </row>
    <row r="272" spans="1:10" x14ac:dyDescent="0.25">
      <c r="A272" s="7">
        <v>15583137</v>
      </c>
      <c r="B272" s="8" t="s">
        <v>11</v>
      </c>
      <c r="C272" s="9">
        <v>61000</v>
      </c>
      <c r="D272" s="10">
        <v>40</v>
      </c>
      <c r="E272" s="10">
        <v>0</v>
      </c>
      <c r="F272" s="10">
        <f>IF(G272&gt;=Modelo!$B$10,1,0)</f>
        <v>0</v>
      </c>
      <c r="G272" s="11">
        <f>1/(1+EXP(-(Modelo!$B$5+Modelo!$B$6*D272+Modelo!$B$7*C272+Modelo!$B$8*IF(B272="Male",1,0))))</f>
        <v>0.31227993216501576</v>
      </c>
      <c r="H272" s="11">
        <f t="shared" si="8"/>
        <v>0.68772006783498418</v>
      </c>
      <c r="I272" s="10" t="str">
        <f t="shared" si="9"/>
        <v>Sí</v>
      </c>
      <c r="J272" s="10" t="s">
        <v>12</v>
      </c>
    </row>
    <row r="273" spans="1:10" x14ac:dyDescent="0.25">
      <c r="A273" s="2">
        <v>15680752</v>
      </c>
      <c r="B273" s="3" t="s">
        <v>14</v>
      </c>
      <c r="C273" s="4">
        <v>133000</v>
      </c>
      <c r="D273" s="5">
        <v>43</v>
      </c>
      <c r="E273" s="5">
        <v>0</v>
      </c>
      <c r="F273" s="5">
        <f>IF(G273&gt;=Modelo!$B$10,1,0)</f>
        <v>1</v>
      </c>
      <c r="G273" s="6">
        <f>1/(1+EXP(-(Modelo!$B$5+Modelo!$B$6*D273+Modelo!$B$7*C273+Modelo!$B$8*IF(B273="Male",1,0))))</f>
        <v>0.91918130419522792</v>
      </c>
      <c r="H273" s="6">
        <f t="shared" si="8"/>
        <v>0.91918130419522792</v>
      </c>
      <c r="I273" s="5" t="str">
        <f t="shared" si="9"/>
        <v>No</v>
      </c>
      <c r="J273" s="5" t="s">
        <v>12</v>
      </c>
    </row>
    <row r="274" spans="1:10" x14ac:dyDescent="0.25">
      <c r="A274" s="7">
        <v>15688172</v>
      </c>
      <c r="B274" s="8" t="s">
        <v>14</v>
      </c>
      <c r="C274" s="9">
        <v>76000</v>
      </c>
      <c r="D274" s="10">
        <v>59</v>
      </c>
      <c r="E274" s="10">
        <v>1</v>
      </c>
      <c r="F274" s="10">
        <f>IF(G274&gt;=Modelo!$B$10,1,0)</f>
        <v>1</v>
      </c>
      <c r="G274" s="11">
        <f>1/(1+EXP(-(Modelo!$B$5+Modelo!$B$6*D274+Modelo!$B$7*C274+Modelo!$B$8*IF(B274="Male",1,0))))</f>
        <v>0.97849324762478818</v>
      </c>
      <c r="H274" s="11">
        <f t="shared" si="8"/>
        <v>0.97849324762478818</v>
      </c>
      <c r="I274" s="10" t="str">
        <f t="shared" si="9"/>
        <v>Sí</v>
      </c>
      <c r="J274" s="10" t="s">
        <v>12</v>
      </c>
    </row>
    <row r="275" spans="1:10" x14ac:dyDescent="0.25">
      <c r="A275" s="2">
        <v>15791373</v>
      </c>
      <c r="B275" s="3" t="s">
        <v>11</v>
      </c>
      <c r="C275" s="4">
        <v>42000</v>
      </c>
      <c r="D275" s="5">
        <v>60</v>
      </c>
      <c r="E275" s="5">
        <v>1</v>
      </c>
      <c r="F275" s="5">
        <f>IF(G275&gt;=Modelo!$B$10,1,0)</f>
        <v>1</v>
      </c>
      <c r="G275" s="6">
        <f>1/(1+EXP(-(Modelo!$B$5+Modelo!$B$6*D275+Modelo!$B$7*C275+Modelo!$B$8*IF(B275="Male",1,0))))</f>
        <v>0.95244696682144048</v>
      </c>
      <c r="H275" s="6">
        <f t="shared" si="8"/>
        <v>0.95244696682144048</v>
      </c>
      <c r="I275" s="5" t="str">
        <f t="shared" si="9"/>
        <v>Sí</v>
      </c>
      <c r="J275" s="5" t="s">
        <v>12</v>
      </c>
    </row>
    <row r="276" spans="1:10" x14ac:dyDescent="0.25">
      <c r="A276" s="7">
        <v>15589449</v>
      </c>
      <c r="B276" s="8" t="s">
        <v>11</v>
      </c>
      <c r="C276" s="9">
        <v>106000</v>
      </c>
      <c r="D276" s="10">
        <v>39</v>
      </c>
      <c r="E276" s="10">
        <v>1</v>
      </c>
      <c r="F276" s="10">
        <f>IF(G276&gt;=Modelo!$B$10,1,0)</f>
        <v>1</v>
      </c>
      <c r="G276" s="11">
        <f>1/(1+EXP(-(Modelo!$B$5+Modelo!$B$6*D276+Modelo!$B$7*C276+Modelo!$B$8*IF(B276="Male",1,0))))</f>
        <v>0.67974200015046904</v>
      </c>
      <c r="H276" s="11">
        <f t="shared" si="8"/>
        <v>0.67974200015046904</v>
      </c>
      <c r="I276" s="10" t="str">
        <f t="shared" si="9"/>
        <v>Sí</v>
      </c>
      <c r="J276" s="10" t="s">
        <v>12</v>
      </c>
    </row>
    <row r="277" spans="1:10" x14ac:dyDescent="0.25">
      <c r="A277" s="2">
        <v>15692819</v>
      </c>
      <c r="B277" s="3" t="s">
        <v>14</v>
      </c>
      <c r="C277" s="4">
        <v>26000</v>
      </c>
      <c r="D277" s="5">
        <v>57</v>
      </c>
      <c r="E277" s="5">
        <v>1</v>
      </c>
      <c r="F277" s="5">
        <f>IF(G277&gt;=Modelo!$B$10,1,0)</f>
        <v>1</v>
      </c>
      <c r="G277" s="6">
        <f>1/(1+EXP(-(Modelo!$B$5+Modelo!$B$6*D277+Modelo!$B$7*C277+Modelo!$B$8*IF(B277="Male",1,0))))</f>
        <v>0.80203005573373776</v>
      </c>
      <c r="H277" s="6">
        <f t="shared" si="8"/>
        <v>0.80203005573373776</v>
      </c>
      <c r="I277" s="5" t="str">
        <f t="shared" si="9"/>
        <v>Sí</v>
      </c>
      <c r="J277" s="5" t="s">
        <v>12</v>
      </c>
    </row>
    <row r="278" spans="1:10" x14ac:dyDescent="0.25">
      <c r="A278" s="7">
        <v>15727467</v>
      </c>
      <c r="B278" s="8" t="s">
        <v>11</v>
      </c>
      <c r="C278" s="9">
        <v>74000</v>
      </c>
      <c r="D278" s="10">
        <v>57</v>
      </c>
      <c r="E278" s="10">
        <v>1</v>
      </c>
      <c r="F278" s="10">
        <f>IF(G278&gt;=Modelo!$B$10,1,0)</f>
        <v>1</v>
      </c>
      <c r="G278" s="11">
        <f>1/(1+EXP(-(Modelo!$B$5+Modelo!$B$6*D278+Modelo!$B$7*C278+Modelo!$B$8*IF(B278="Male",1,0))))</f>
        <v>0.9727464572188651</v>
      </c>
      <c r="H278" s="11">
        <f t="shared" si="8"/>
        <v>0.9727464572188651</v>
      </c>
      <c r="I278" s="10" t="str">
        <f t="shared" si="9"/>
        <v>Sí</v>
      </c>
      <c r="J278" s="10" t="s">
        <v>12</v>
      </c>
    </row>
    <row r="279" spans="1:10" x14ac:dyDescent="0.25">
      <c r="A279" s="2">
        <v>15734312</v>
      </c>
      <c r="B279" s="3" t="s">
        <v>11</v>
      </c>
      <c r="C279" s="4">
        <v>71000</v>
      </c>
      <c r="D279" s="5">
        <v>38</v>
      </c>
      <c r="E279" s="5">
        <v>0</v>
      </c>
      <c r="F279" s="5">
        <f>IF(G279&gt;=Modelo!$B$10,1,0)</f>
        <v>0</v>
      </c>
      <c r="G279" s="6">
        <f>1/(1+EXP(-(Modelo!$B$5+Modelo!$B$6*D279+Modelo!$B$7*C279+Modelo!$B$8*IF(B279="Male",1,0))))</f>
        <v>0.29947997430168216</v>
      </c>
      <c r="H279" s="6">
        <f t="shared" si="8"/>
        <v>0.70052002569831784</v>
      </c>
      <c r="I279" s="5" t="str">
        <f t="shared" si="9"/>
        <v>Sí</v>
      </c>
      <c r="J279" s="5" t="s">
        <v>13</v>
      </c>
    </row>
    <row r="280" spans="1:10" x14ac:dyDescent="0.25">
      <c r="A280" s="7">
        <v>15764604</v>
      </c>
      <c r="B280" s="8" t="s">
        <v>11</v>
      </c>
      <c r="C280" s="9">
        <v>88000</v>
      </c>
      <c r="D280" s="10">
        <v>49</v>
      </c>
      <c r="E280" s="10">
        <v>1</v>
      </c>
      <c r="F280" s="10">
        <f>IF(G280&gt;=Modelo!$B$10,1,0)</f>
        <v>1</v>
      </c>
      <c r="G280" s="11">
        <f>1/(1+EXP(-(Modelo!$B$5+Modelo!$B$6*D280+Modelo!$B$7*C280+Modelo!$B$8*IF(B280="Male",1,0))))</f>
        <v>0.90985174387836487</v>
      </c>
      <c r="H280" s="11">
        <f t="shared" si="8"/>
        <v>0.90985174387836487</v>
      </c>
      <c r="I280" s="10" t="str">
        <f t="shared" si="9"/>
        <v>Sí</v>
      </c>
      <c r="J280" s="10" t="s">
        <v>12</v>
      </c>
    </row>
    <row r="281" spans="1:10" x14ac:dyDescent="0.25">
      <c r="A281" s="2">
        <v>15613014</v>
      </c>
      <c r="B281" s="3" t="s">
        <v>14</v>
      </c>
      <c r="C281" s="4">
        <v>38000</v>
      </c>
      <c r="D281" s="5">
        <v>52</v>
      </c>
      <c r="E281" s="5">
        <v>1</v>
      </c>
      <c r="F281" s="5">
        <f>IF(G281&gt;=Modelo!$B$10,1,0)</f>
        <v>1</v>
      </c>
      <c r="G281" s="6">
        <f>1/(1+EXP(-(Modelo!$B$5+Modelo!$B$6*D281+Modelo!$B$7*C281+Modelo!$B$8*IF(B281="Male",1,0))))</f>
        <v>0.67641110211300748</v>
      </c>
      <c r="H281" s="6">
        <f t="shared" si="8"/>
        <v>0.67641110211300748</v>
      </c>
      <c r="I281" s="5" t="str">
        <f t="shared" si="9"/>
        <v>Sí</v>
      </c>
      <c r="J281" s="5" t="s">
        <v>12</v>
      </c>
    </row>
    <row r="282" spans="1:10" x14ac:dyDescent="0.25">
      <c r="A282" s="7">
        <v>15759684</v>
      </c>
      <c r="B282" s="8" t="s">
        <v>14</v>
      </c>
      <c r="C282" s="9">
        <v>36000</v>
      </c>
      <c r="D282" s="10">
        <v>50</v>
      </c>
      <c r="E282" s="10">
        <v>1</v>
      </c>
      <c r="F282" s="10">
        <f>IF(G282&gt;=Modelo!$B$10,1,0)</f>
        <v>1</v>
      </c>
      <c r="G282" s="11">
        <f>1/(1+EXP(-(Modelo!$B$5+Modelo!$B$6*D282+Modelo!$B$7*C282+Modelo!$B$8*IF(B282="Male",1,0))))</f>
        <v>0.55116258382097827</v>
      </c>
      <c r="H282" s="11">
        <f t="shared" si="8"/>
        <v>0.55116258382097827</v>
      </c>
      <c r="I282" s="10" t="str">
        <f t="shared" si="9"/>
        <v>Sí</v>
      </c>
      <c r="J282" s="10" t="s">
        <v>13</v>
      </c>
    </row>
    <row r="283" spans="1:10" x14ac:dyDescent="0.25">
      <c r="A283" s="2">
        <v>15609669</v>
      </c>
      <c r="B283" s="3" t="s">
        <v>14</v>
      </c>
      <c r="C283" s="4">
        <v>88000</v>
      </c>
      <c r="D283" s="5">
        <v>59</v>
      </c>
      <c r="E283" s="5">
        <v>1</v>
      </c>
      <c r="F283" s="5">
        <f>IF(G283&gt;=Modelo!$B$10,1,0)</f>
        <v>1</v>
      </c>
      <c r="G283" s="6">
        <f>1/(1+EXP(-(Modelo!$B$5+Modelo!$B$6*D283+Modelo!$B$7*C283+Modelo!$B$8*IF(B283="Male",1,0))))</f>
        <v>0.98647117412572849</v>
      </c>
      <c r="H283" s="6">
        <f t="shared" si="8"/>
        <v>0.98647117412572849</v>
      </c>
      <c r="I283" s="5" t="str">
        <f t="shared" si="9"/>
        <v>Sí</v>
      </c>
      <c r="J283" s="5" t="s">
        <v>12</v>
      </c>
    </row>
    <row r="284" spans="1:10" x14ac:dyDescent="0.25">
      <c r="A284" s="7">
        <v>15685536</v>
      </c>
      <c r="B284" s="8" t="s">
        <v>11</v>
      </c>
      <c r="C284" s="9">
        <v>61000</v>
      </c>
      <c r="D284" s="10">
        <v>35</v>
      </c>
      <c r="E284" s="10">
        <v>0</v>
      </c>
      <c r="F284" s="10">
        <f>IF(G284&gt;=Modelo!$B$10,1,0)</f>
        <v>0</v>
      </c>
      <c r="G284" s="11">
        <f>1/(1+EXP(-(Modelo!$B$5+Modelo!$B$6*D284+Modelo!$B$7*C284+Modelo!$B$8*IF(B284="Male",1,0))))</f>
        <v>0.12754408132936992</v>
      </c>
      <c r="H284" s="11">
        <f t="shared" si="8"/>
        <v>0.8724559186706301</v>
      </c>
      <c r="I284" s="10" t="str">
        <f t="shared" si="9"/>
        <v>Sí</v>
      </c>
      <c r="J284" s="10" t="s">
        <v>12</v>
      </c>
    </row>
    <row r="285" spans="1:10" x14ac:dyDescent="0.25">
      <c r="A285" s="2">
        <v>15750447</v>
      </c>
      <c r="B285" s="3" t="s">
        <v>11</v>
      </c>
      <c r="C285" s="4">
        <v>70000</v>
      </c>
      <c r="D285" s="5">
        <v>37</v>
      </c>
      <c r="E285" s="5">
        <v>1</v>
      </c>
      <c r="F285" s="5">
        <f>IF(G285&gt;=Modelo!$B$10,1,0)</f>
        <v>0</v>
      </c>
      <c r="G285" s="6">
        <f>1/(1+EXP(-(Modelo!$B$5+Modelo!$B$6*D285+Modelo!$B$7*C285+Modelo!$B$8*IF(B285="Male",1,0))))</f>
        <v>0.24679964387588055</v>
      </c>
      <c r="H285" s="6">
        <f t="shared" si="8"/>
        <v>0.7532003561241194</v>
      </c>
      <c r="I285" s="5" t="str">
        <f t="shared" si="9"/>
        <v>No</v>
      </c>
      <c r="J285" s="5" t="s">
        <v>12</v>
      </c>
    </row>
    <row r="286" spans="1:10" x14ac:dyDescent="0.25">
      <c r="A286" s="7">
        <v>15663249</v>
      </c>
      <c r="B286" s="8" t="s">
        <v>14</v>
      </c>
      <c r="C286" s="9">
        <v>21000</v>
      </c>
      <c r="D286" s="10">
        <v>52</v>
      </c>
      <c r="E286" s="10">
        <v>1</v>
      </c>
      <c r="F286" s="10">
        <f>IF(G286&gt;=Modelo!$B$10,1,0)</f>
        <v>1</v>
      </c>
      <c r="G286" s="11">
        <f>1/(1+EXP(-(Modelo!$B$5+Modelo!$B$6*D286+Modelo!$B$7*C286+Modelo!$B$8*IF(B286="Male",1,0))))</f>
        <v>0.51727706027733622</v>
      </c>
      <c r="H286" s="11">
        <f t="shared" si="8"/>
        <v>0.51727706027733622</v>
      </c>
      <c r="I286" s="10" t="str">
        <f t="shared" si="9"/>
        <v>Sí</v>
      </c>
      <c r="J286" s="10" t="s">
        <v>12</v>
      </c>
    </row>
    <row r="287" spans="1:10" x14ac:dyDescent="0.25">
      <c r="A287" s="2">
        <v>15638646</v>
      </c>
      <c r="B287" s="3" t="s">
        <v>11</v>
      </c>
      <c r="C287" s="4">
        <v>141000</v>
      </c>
      <c r="D287" s="5">
        <v>48</v>
      </c>
      <c r="E287" s="5">
        <v>0</v>
      </c>
      <c r="F287" s="5">
        <f>IF(G287&gt;=Modelo!$B$10,1,0)</f>
        <v>1</v>
      </c>
      <c r="G287" s="6">
        <f>1/(1+EXP(-(Modelo!$B$5+Modelo!$B$6*D287+Modelo!$B$7*C287+Modelo!$B$8*IF(B287="Male",1,0))))</f>
        <v>0.9847579427391433</v>
      </c>
      <c r="H287" s="6">
        <f t="shared" si="8"/>
        <v>0.9847579427391433</v>
      </c>
      <c r="I287" s="5" t="str">
        <f t="shared" si="9"/>
        <v>No</v>
      </c>
      <c r="J287" s="5" t="s">
        <v>12</v>
      </c>
    </row>
    <row r="288" spans="1:10" x14ac:dyDescent="0.25">
      <c r="A288" s="7">
        <v>15734161</v>
      </c>
      <c r="B288" s="8" t="s">
        <v>14</v>
      </c>
      <c r="C288" s="9">
        <v>93000</v>
      </c>
      <c r="D288" s="10">
        <v>37</v>
      </c>
      <c r="E288" s="10">
        <v>1</v>
      </c>
      <c r="F288" s="10">
        <f>IF(G288&gt;=Modelo!$B$10,1,0)</f>
        <v>0</v>
      </c>
      <c r="G288" s="11">
        <f>1/(1+EXP(-(Modelo!$B$5+Modelo!$B$6*D288+Modelo!$B$7*C288+Modelo!$B$8*IF(B288="Male",1,0))))</f>
        <v>0.37730996378942866</v>
      </c>
      <c r="H288" s="11">
        <f t="shared" si="8"/>
        <v>0.6226900362105714</v>
      </c>
      <c r="I288" s="10" t="str">
        <f t="shared" si="9"/>
        <v>No</v>
      </c>
      <c r="J288" s="10" t="s">
        <v>12</v>
      </c>
    </row>
    <row r="289" spans="1:10" x14ac:dyDescent="0.25">
      <c r="A289" s="2">
        <v>15631070</v>
      </c>
      <c r="B289" s="3" t="s">
        <v>14</v>
      </c>
      <c r="C289" s="4">
        <v>62000</v>
      </c>
      <c r="D289" s="5">
        <v>37</v>
      </c>
      <c r="E289" s="5">
        <v>0</v>
      </c>
      <c r="F289" s="5">
        <f>IF(G289&gt;=Modelo!$B$10,1,0)</f>
        <v>0</v>
      </c>
      <c r="G289" s="6">
        <f>1/(1+EXP(-(Modelo!$B$5+Modelo!$B$6*D289+Modelo!$B$7*C289+Modelo!$B$8*IF(B289="Male",1,0))))</f>
        <v>0.15194221714977321</v>
      </c>
      <c r="H289" s="6">
        <f t="shared" si="8"/>
        <v>0.84805778285022682</v>
      </c>
      <c r="I289" s="5" t="str">
        <f t="shared" si="9"/>
        <v>Sí</v>
      </c>
      <c r="J289" s="5" t="s">
        <v>13</v>
      </c>
    </row>
    <row r="290" spans="1:10" x14ac:dyDescent="0.25">
      <c r="A290" s="7">
        <v>15761950</v>
      </c>
      <c r="B290" s="8" t="s">
        <v>14</v>
      </c>
      <c r="C290" s="9">
        <v>138000</v>
      </c>
      <c r="D290" s="10">
        <v>48</v>
      </c>
      <c r="E290" s="10">
        <v>1</v>
      </c>
      <c r="F290" s="10">
        <f>IF(G290&gt;=Modelo!$B$10,1,0)</f>
        <v>1</v>
      </c>
      <c r="G290" s="11">
        <f>1/(1+EXP(-(Modelo!$B$5+Modelo!$B$6*D290+Modelo!$B$7*C290+Modelo!$B$8*IF(B290="Male",1,0))))</f>
        <v>0.97727206191649163</v>
      </c>
      <c r="H290" s="11">
        <f t="shared" si="8"/>
        <v>0.97727206191649163</v>
      </c>
      <c r="I290" s="10" t="str">
        <f t="shared" si="9"/>
        <v>Sí</v>
      </c>
      <c r="J290" s="10" t="s">
        <v>12</v>
      </c>
    </row>
    <row r="291" spans="1:10" x14ac:dyDescent="0.25">
      <c r="A291" s="2">
        <v>15649668</v>
      </c>
      <c r="B291" s="3" t="s">
        <v>11</v>
      </c>
      <c r="C291" s="4">
        <v>79000</v>
      </c>
      <c r="D291" s="5">
        <v>41</v>
      </c>
      <c r="E291" s="5">
        <v>0</v>
      </c>
      <c r="F291" s="5">
        <f>IF(G291&gt;=Modelo!$B$10,1,0)</f>
        <v>1</v>
      </c>
      <c r="G291" s="6">
        <f>1/(1+EXP(-(Modelo!$B$5+Modelo!$B$6*D291+Modelo!$B$7*C291+Modelo!$B$8*IF(B291="Male",1,0))))</f>
        <v>0.53610916081010562</v>
      </c>
      <c r="H291" s="6">
        <f t="shared" si="8"/>
        <v>0.53610916081010562</v>
      </c>
      <c r="I291" s="5" t="str">
        <f t="shared" si="9"/>
        <v>No</v>
      </c>
      <c r="J291" s="5" t="s">
        <v>13</v>
      </c>
    </row>
    <row r="292" spans="1:10" x14ac:dyDescent="0.25">
      <c r="A292" s="7">
        <v>15713912</v>
      </c>
      <c r="B292" s="8" t="s">
        <v>14</v>
      </c>
      <c r="C292" s="9">
        <v>78000</v>
      </c>
      <c r="D292" s="10">
        <v>37</v>
      </c>
      <c r="E292" s="10">
        <v>1</v>
      </c>
      <c r="F292" s="10">
        <f>IF(G292&gt;=Modelo!$B$10,1,0)</f>
        <v>0</v>
      </c>
      <c r="G292" s="11">
        <f>1/(1+EXP(-(Modelo!$B$5+Modelo!$B$6*D292+Modelo!$B$7*C292+Modelo!$B$8*IF(B292="Male",1,0))))</f>
        <v>0.25151237777362528</v>
      </c>
      <c r="H292" s="11">
        <f t="shared" si="8"/>
        <v>0.74848762222637477</v>
      </c>
      <c r="I292" s="10" t="str">
        <f t="shared" si="9"/>
        <v>No</v>
      </c>
      <c r="J292" s="10" t="s">
        <v>12</v>
      </c>
    </row>
    <row r="293" spans="1:10" x14ac:dyDescent="0.25">
      <c r="A293" s="2">
        <v>15586757</v>
      </c>
      <c r="B293" s="3" t="s">
        <v>11</v>
      </c>
      <c r="C293" s="4">
        <v>134000</v>
      </c>
      <c r="D293" s="5">
        <v>39</v>
      </c>
      <c r="E293" s="5">
        <v>1</v>
      </c>
      <c r="F293" s="5">
        <f>IF(G293&gt;=Modelo!$B$10,1,0)</f>
        <v>1</v>
      </c>
      <c r="G293" s="6">
        <f>1/(1+EXP(-(Modelo!$B$5+Modelo!$B$6*D293+Modelo!$B$7*C293+Modelo!$B$8*IF(B293="Male",1,0))))</f>
        <v>0.86449499235355676</v>
      </c>
      <c r="H293" s="6">
        <f t="shared" si="8"/>
        <v>0.86449499235355676</v>
      </c>
      <c r="I293" s="5" t="str">
        <f t="shared" si="9"/>
        <v>Sí</v>
      </c>
      <c r="J293" s="5" t="s">
        <v>12</v>
      </c>
    </row>
    <row r="294" spans="1:10" x14ac:dyDescent="0.25">
      <c r="A294" s="7">
        <v>15596522</v>
      </c>
      <c r="B294" s="8" t="s">
        <v>11</v>
      </c>
      <c r="C294" s="9">
        <v>89000</v>
      </c>
      <c r="D294" s="10">
        <v>49</v>
      </c>
      <c r="E294" s="10">
        <v>1</v>
      </c>
      <c r="F294" s="10">
        <f>IF(G294&gt;=Modelo!$B$10,1,0)</f>
        <v>1</v>
      </c>
      <c r="G294" s="11">
        <f>1/(1+EXP(-(Modelo!$B$5+Modelo!$B$6*D294+Modelo!$B$7*C294+Modelo!$B$8*IF(B294="Male",1,0))))</f>
        <v>0.91302411826263552</v>
      </c>
      <c r="H294" s="11">
        <f t="shared" si="8"/>
        <v>0.91302411826263552</v>
      </c>
      <c r="I294" s="10" t="str">
        <f t="shared" si="9"/>
        <v>Sí</v>
      </c>
      <c r="J294" s="10" t="s">
        <v>12</v>
      </c>
    </row>
    <row r="295" spans="1:10" x14ac:dyDescent="0.25">
      <c r="A295" s="2">
        <v>15625395</v>
      </c>
      <c r="B295" s="3" t="s">
        <v>11</v>
      </c>
      <c r="C295" s="4">
        <v>39000</v>
      </c>
      <c r="D295" s="5">
        <v>55</v>
      </c>
      <c r="E295" s="5">
        <v>1</v>
      </c>
      <c r="F295" s="5">
        <f>IF(G295&gt;=Modelo!$B$10,1,0)</f>
        <v>1</v>
      </c>
      <c r="G295" s="6">
        <f>1/(1+EXP(-(Modelo!$B$5+Modelo!$B$6*D295+Modelo!$B$7*C295+Modelo!$B$8*IF(B295="Male",1,0))))</f>
        <v>0.85143549579748457</v>
      </c>
      <c r="H295" s="6">
        <f t="shared" si="8"/>
        <v>0.85143549579748457</v>
      </c>
      <c r="I295" s="5" t="str">
        <f t="shared" si="9"/>
        <v>Sí</v>
      </c>
      <c r="J295" s="5" t="s">
        <v>12</v>
      </c>
    </row>
    <row r="296" spans="1:10" x14ac:dyDescent="0.25">
      <c r="A296" s="7">
        <v>15760570</v>
      </c>
      <c r="B296" s="8" t="s">
        <v>11</v>
      </c>
      <c r="C296" s="9">
        <v>77000</v>
      </c>
      <c r="D296" s="10">
        <v>37</v>
      </c>
      <c r="E296" s="10">
        <v>0</v>
      </c>
      <c r="F296" s="10">
        <f>IF(G296&gt;=Modelo!$B$10,1,0)</f>
        <v>0</v>
      </c>
      <c r="G296" s="11">
        <f>1/(1+EXP(-(Modelo!$B$5+Modelo!$B$6*D296+Modelo!$B$7*C296+Modelo!$B$8*IF(B296="Male",1,0))))</f>
        <v>0.30140489679024191</v>
      </c>
      <c r="H296" s="11">
        <f t="shared" si="8"/>
        <v>0.69859510320975815</v>
      </c>
      <c r="I296" s="10" t="str">
        <f t="shared" si="9"/>
        <v>Sí</v>
      </c>
      <c r="J296" s="10" t="s">
        <v>12</v>
      </c>
    </row>
    <row r="297" spans="1:10" x14ac:dyDescent="0.25">
      <c r="A297" s="2">
        <v>15566689</v>
      </c>
      <c r="B297" s="3" t="s">
        <v>14</v>
      </c>
      <c r="C297" s="4">
        <v>57000</v>
      </c>
      <c r="D297" s="5">
        <v>35</v>
      </c>
      <c r="E297" s="5">
        <v>0</v>
      </c>
      <c r="F297" s="5">
        <f>IF(G297&gt;=Modelo!$B$10,1,0)</f>
        <v>0</v>
      </c>
      <c r="G297" s="6">
        <f>1/(1+EXP(-(Modelo!$B$5+Modelo!$B$6*D297+Modelo!$B$7*C297+Modelo!$B$8*IF(B297="Male",1,0))))</f>
        <v>8.5542110758740103E-2</v>
      </c>
      <c r="H297" s="6">
        <f t="shared" si="8"/>
        <v>0.91445788924125992</v>
      </c>
      <c r="I297" s="5" t="str">
        <f t="shared" si="9"/>
        <v>Sí</v>
      </c>
      <c r="J297" s="5" t="s">
        <v>12</v>
      </c>
    </row>
    <row r="298" spans="1:10" x14ac:dyDescent="0.25">
      <c r="A298" s="7">
        <v>15725794</v>
      </c>
      <c r="B298" s="8" t="s">
        <v>14</v>
      </c>
      <c r="C298" s="9">
        <v>63000</v>
      </c>
      <c r="D298" s="10">
        <v>36</v>
      </c>
      <c r="E298" s="10">
        <v>0</v>
      </c>
      <c r="F298" s="10">
        <f>IF(G298&gt;=Modelo!$B$10,1,0)</f>
        <v>0</v>
      </c>
      <c r="G298" s="11">
        <f>1/(1+EXP(-(Modelo!$B$5+Modelo!$B$6*D298+Modelo!$B$7*C298+Modelo!$B$8*IF(B298="Male",1,0))))</f>
        <v>0.12933889707916912</v>
      </c>
      <c r="H298" s="11">
        <f t="shared" si="8"/>
        <v>0.87066110292083088</v>
      </c>
      <c r="I298" s="10" t="str">
        <f t="shared" si="9"/>
        <v>Sí</v>
      </c>
      <c r="J298" s="10" t="s">
        <v>12</v>
      </c>
    </row>
    <row r="299" spans="1:10" x14ac:dyDescent="0.25">
      <c r="A299" s="2">
        <v>15673539</v>
      </c>
      <c r="B299" s="3" t="s">
        <v>11</v>
      </c>
      <c r="C299" s="4">
        <v>73000</v>
      </c>
      <c r="D299" s="5">
        <v>42</v>
      </c>
      <c r="E299" s="5">
        <v>1</v>
      </c>
      <c r="F299" s="5">
        <f>IF(G299&gt;=Modelo!$B$10,1,0)</f>
        <v>1</v>
      </c>
      <c r="G299" s="6">
        <f>1/(1+EXP(-(Modelo!$B$5+Modelo!$B$6*D299+Modelo!$B$7*C299+Modelo!$B$8*IF(B299="Male",1,0))))</f>
        <v>0.53383071200918442</v>
      </c>
      <c r="H299" s="6">
        <f t="shared" si="8"/>
        <v>0.53383071200918442</v>
      </c>
      <c r="I299" s="5" t="str">
        <f t="shared" si="9"/>
        <v>Sí</v>
      </c>
      <c r="J299" s="5" t="s">
        <v>12</v>
      </c>
    </row>
    <row r="300" spans="1:10" x14ac:dyDescent="0.25">
      <c r="A300" s="7">
        <v>15705298</v>
      </c>
      <c r="B300" s="8" t="s">
        <v>14</v>
      </c>
      <c r="C300" s="9">
        <v>112000</v>
      </c>
      <c r="D300" s="10">
        <v>43</v>
      </c>
      <c r="E300" s="10">
        <v>1</v>
      </c>
      <c r="F300" s="10">
        <f>IF(G300&gt;=Modelo!$B$10,1,0)</f>
        <v>1</v>
      </c>
      <c r="G300" s="11">
        <f>1/(1+EXP(-(Modelo!$B$5+Modelo!$B$6*D300+Modelo!$B$7*C300+Modelo!$B$8*IF(B300="Male",1,0))))</f>
        <v>0.83283611076006292</v>
      </c>
      <c r="H300" s="11">
        <f t="shared" si="8"/>
        <v>0.83283611076006292</v>
      </c>
      <c r="I300" s="10" t="str">
        <f t="shared" si="9"/>
        <v>Sí</v>
      </c>
      <c r="J300" s="10" t="s">
        <v>13</v>
      </c>
    </row>
    <row r="301" spans="1:10" x14ac:dyDescent="0.25">
      <c r="A301" s="2">
        <v>15675791</v>
      </c>
      <c r="B301" s="3" t="s">
        <v>11</v>
      </c>
      <c r="C301" s="4">
        <v>79000</v>
      </c>
      <c r="D301" s="5">
        <v>45</v>
      </c>
      <c r="E301" s="5">
        <v>0</v>
      </c>
      <c r="F301" s="5">
        <f>IF(G301&gt;=Modelo!$B$10,1,0)</f>
        <v>1</v>
      </c>
      <c r="G301" s="6">
        <f>1/(1+EXP(-(Modelo!$B$5+Modelo!$B$6*D301+Modelo!$B$7*C301+Modelo!$B$8*IF(B301="Male",1,0))))</f>
        <v>0.74104040527351855</v>
      </c>
      <c r="H301" s="6">
        <f t="shared" si="8"/>
        <v>0.74104040527351855</v>
      </c>
      <c r="I301" s="5" t="str">
        <f t="shared" si="9"/>
        <v>No</v>
      </c>
      <c r="J301" s="5" t="s">
        <v>13</v>
      </c>
    </row>
    <row r="302" spans="1:10" x14ac:dyDescent="0.25">
      <c r="A302" s="7">
        <v>15747043</v>
      </c>
      <c r="B302" s="8" t="s">
        <v>11</v>
      </c>
      <c r="C302" s="9">
        <v>117000</v>
      </c>
      <c r="D302" s="10">
        <v>46</v>
      </c>
      <c r="E302" s="10">
        <v>1</v>
      </c>
      <c r="F302" s="10">
        <f>IF(G302&gt;=Modelo!$B$10,1,0)</f>
        <v>1</v>
      </c>
      <c r="G302" s="11">
        <f>1/(1+EXP(-(Modelo!$B$5+Modelo!$B$6*D302+Modelo!$B$7*C302+Modelo!$B$8*IF(B302="Male",1,0))))</f>
        <v>0.94112508945414108</v>
      </c>
      <c r="H302" s="11">
        <f t="shared" si="8"/>
        <v>0.94112508945414108</v>
      </c>
      <c r="I302" s="10" t="str">
        <f t="shared" si="9"/>
        <v>Sí</v>
      </c>
      <c r="J302" s="10" t="s">
        <v>12</v>
      </c>
    </row>
    <row r="303" spans="1:10" x14ac:dyDescent="0.25">
      <c r="A303" s="2">
        <v>15736397</v>
      </c>
      <c r="B303" s="3" t="s">
        <v>14</v>
      </c>
      <c r="C303" s="4">
        <v>38000</v>
      </c>
      <c r="D303" s="5">
        <v>58</v>
      </c>
      <c r="E303" s="5">
        <v>1</v>
      </c>
      <c r="F303" s="5">
        <f>IF(G303&gt;=Modelo!$B$10,1,0)</f>
        <v>1</v>
      </c>
      <c r="G303" s="6">
        <f>1/(1+EXP(-(Modelo!$B$5+Modelo!$B$6*D303+Modelo!$B$7*C303+Modelo!$B$8*IF(B303="Male",1,0))))</f>
        <v>0.89064719770372569</v>
      </c>
      <c r="H303" s="6">
        <f t="shared" si="8"/>
        <v>0.89064719770372569</v>
      </c>
      <c r="I303" s="5" t="str">
        <f t="shared" si="9"/>
        <v>Sí</v>
      </c>
      <c r="J303" s="5" t="s">
        <v>13</v>
      </c>
    </row>
    <row r="304" spans="1:10" x14ac:dyDescent="0.25">
      <c r="A304" s="7">
        <v>15678201</v>
      </c>
      <c r="B304" s="8" t="s">
        <v>11</v>
      </c>
      <c r="C304" s="9">
        <v>74000</v>
      </c>
      <c r="D304" s="10">
        <v>48</v>
      </c>
      <c r="E304" s="10">
        <v>1</v>
      </c>
      <c r="F304" s="10">
        <f>IF(G304&gt;=Modelo!$B$10,1,0)</f>
        <v>1</v>
      </c>
      <c r="G304" s="11">
        <f>1/(1+EXP(-(Modelo!$B$5+Modelo!$B$6*D304+Modelo!$B$7*C304+Modelo!$B$8*IF(B304="Male",1,0))))</f>
        <v>0.82271878030009205</v>
      </c>
      <c r="H304" s="11">
        <f t="shared" si="8"/>
        <v>0.82271878030009205</v>
      </c>
      <c r="I304" s="10" t="str">
        <f t="shared" si="9"/>
        <v>Sí</v>
      </c>
      <c r="J304" s="10" t="s">
        <v>12</v>
      </c>
    </row>
    <row r="305" spans="1:10" x14ac:dyDescent="0.25">
      <c r="A305" s="2">
        <v>15720745</v>
      </c>
      <c r="B305" s="3" t="s">
        <v>14</v>
      </c>
      <c r="C305" s="4">
        <v>137000</v>
      </c>
      <c r="D305" s="5">
        <v>37</v>
      </c>
      <c r="E305" s="5">
        <v>1</v>
      </c>
      <c r="F305" s="5">
        <f>IF(G305&gt;=Modelo!$B$10,1,0)</f>
        <v>1</v>
      </c>
      <c r="G305" s="6">
        <f>1/(1+EXP(-(Modelo!$B$5+Modelo!$B$6*D305+Modelo!$B$7*C305+Modelo!$B$8*IF(B305="Male",1,0))))</f>
        <v>0.77354799767916949</v>
      </c>
      <c r="H305" s="6">
        <f t="shared" si="8"/>
        <v>0.77354799767916949</v>
      </c>
      <c r="I305" s="5" t="str">
        <f t="shared" si="9"/>
        <v>Sí</v>
      </c>
      <c r="J305" s="5" t="s">
        <v>12</v>
      </c>
    </row>
    <row r="306" spans="1:10" x14ac:dyDescent="0.25">
      <c r="A306" s="7">
        <v>15637593</v>
      </c>
      <c r="B306" s="8" t="s">
        <v>11</v>
      </c>
      <c r="C306" s="9">
        <v>79000</v>
      </c>
      <c r="D306" s="10">
        <v>37</v>
      </c>
      <c r="E306" s="10">
        <v>1</v>
      </c>
      <c r="F306" s="10">
        <f>IF(G306&gt;=Modelo!$B$10,1,0)</f>
        <v>0</v>
      </c>
      <c r="G306" s="11">
        <f>1/(1+EXP(-(Modelo!$B$5+Modelo!$B$6*D306+Modelo!$B$7*C306+Modelo!$B$8*IF(B306="Male",1,0))))</f>
        <v>0.31821089208385794</v>
      </c>
      <c r="H306" s="11">
        <f t="shared" si="8"/>
        <v>0.681789107916142</v>
      </c>
      <c r="I306" s="10" t="str">
        <f t="shared" si="9"/>
        <v>No</v>
      </c>
      <c r="J306" s="10" t="s">
        <v>12</v>
      </c>
    </row>
    <row r="307" spans="1:10" x14ac:dyDescent="0.25">
      <c r="A307" s="2">
        <v>15598070</v>
      </c>
      <c r="B307" s="3" t="s">
        <v>14</v>
      </c>
      <c r="C307" s="4">
        <v>60000</v>
      </c>
      <c r="D307" s="5">
        <v>40</v>
      </c>
      <c r="E307" s="5">
        <v>0</v>
      </c>
      <c r="F307" s="5">
        <f>IF(G307&gt;=Modelo!$B$10,1,0)</f>
        <v>0</v>
      </c>
      <c r="G307" s="6">
        <f>1/(1+EXP(-(Modelo!$B$5+Modelo!$B$6*D307+Modelo!$B$7*C307+Modelo!$B$8*IF(B307="Male",1,0))))</f>
        <v>0.2463753405307226</v>
      </c>
      <c r="H307" s="6">
        <f t="shared" si="8"/>
        <v>0.75362465946927737</v>
      </c>
      <c r="I307" s="5" t="str">
        <f t="shared" si="9"/>
        <v>Sí</v>
      </c>
      <c r="J307" s="5" t="s">
        <v>12</v>
      </c>
    </row>
    <row r="308" spans="1:10" x14ac:dyDescent="0.25">
      <c r="A308" s="7">
        <v>15787550</v>
      </c>
      <c r="B308" s="8" t="s">
        <v>11</v>
      </c>
      <c r="C308" s="9">
        <v>54000</v>
      </c>
      <c r="D308" s="10">
        <v>42</v>
      </c>
      <c r="E308" s="10">
        <v>0</v>
      </c>
      <c r="F308" s="10">
        <f>IF(G308&gt;=Modelo!$B$10,1,0)</f>
        <v>0</v>
      </c>
      <c r="G308" s="11">
        <f>1/(1+EXP(-(Modelo!$B$5+Modelo!$B$6*D308+Modelo!$B$7*C308+Modelo!$B$8*IF(B308="Male",1,0))))</f>
        <v>0.35176904266514025</v>
      </c>
      <c r="H308" s="11">
        <f t="shared" si="8"/>
        <v>0.64823095733485969</v>
      </c>
      <c r="I308" s="10" t="str">
        <f t="shared" si="9"/>
        <v>Sí</v>
      </c>
      <c r="J308" s="10" t="s">
        <v>12</v>
      </c>
    </row>
    <row r="309" spans="1:10" x14ac:dyDescent="0.25">
      <c r="A309" s="2">
        <v>15603942</v>
      </c>
      <c r="B309" s="3" t="s">
        <v>14</v>
      </c>
      <c r="C309" s="4">
        <v>134000</v>
      </c>
      <c r="D309" s="5">
        <v>51</v>
      </c>
      <c r="E309" s="5">
        <v>0</v>
      </c>
      <c r="F309" s="5">
        <f>IF(G309&gt;=Modelo!$B$10,1,0)</f>
        <v>1</v>
      </c>
      <c r="G309" s="6">
        <f>1/(1+EXP(-(Modelo!$B$5+Modelo!$B$6*D309+Modelo!$B$7*C309+Modelo!$B$8*IF(B309="Male",1,0))))</f>
        <v>0.98639969717907106</v>
      </c>
      <c r="H309" s="6">
        <f t="shared" si="8"/>
        <v>0.98639969717907106</v>
      </c>
      <c r="I309" s="5" t="str">
        <f t="shared" si="9"/>
        <v>No</v>
      </c>
      <c r="J309" s="5" t="s">
        <v>12</v>
      </c>
    </row>
    <row r="310" spans="1:10" x14ac:dyDescent="0.25">
      <c r="A310" s="7">
        <v>15733973</v>
      </c>
      <c r="B310" s="8" t="s">
        <v>14</v>
      </c>
      <c r="C310" s="9">
        <v>113000</v>
      </c>
      <c r="D310" s="10">
        <v>47</v>
      </c>
      <c r="E310" s="10">
        <v>1</v>
      </c>
      <c r="F310" s="10">
        <f>IF(G310&gt;=Modelo!$B$10,1,0)</f>
        <v>1</v>
      </c>
      <c r="G310" s="11">
        <f>1/(1+EXP(-(Modelo!$B$5+Modelo!$B$6*D310+Modelo!$B$7*C310+Modelo!$B$8*IF(B310="Male",1,0))))</f>
        <v>0.92769851407618642</v>
      </c>
      <c r="H310" s="11">
        <f t="shared" si="8"/>
        <v>0.92769851407618642</v>
      </c>
      <c r="I310" s="10" t="str">
        <f t="shared" si="9"/>
        <v>Sí</v>
      </c>
      <c r="J310" s="10" t="s">
        <v>12</v>
      </c>
    </row>
    <row r="311" spans="1:10" x14ac:dyDescent="0.25">
      <c r="A311" s="2">
        <v>15596761</v>
      </c>
      <c r="B311" s="3" t="s">
        <v>11</v>
      </c>
      <c r="C311" s="4">
        <v>125000</v>
      </c>
      <c r="D311" s="5">
        <v>36</v>
      </c>
      <c r="E311" s="5">
        <v>1</v>
      </c>
      <c r="F311" s="5">
        <f>IF(G311&gt;=Modelo!$B$10,1,0)</f>
        <v>1</v>
      </c>
      <c r="G311" s="6">
        <f>1/(1+EXP(-(Modelo!$B$5+Modelo!$B$6*D311+Modelo!$B$7*C311+Modelo!$B$8*IF(B311="Male",1,0))))</f>
        <v>0.69410208359467518</v>
      </c>
      <c r="H311" s="6">
        <f t="shared" si="8"/>
        <v>0.69410208359467518</v>
      </c>
      <c r="I311" s="5" t="str">
        <f t="shared" si="9"/>
        <v>Sí</v>
      </c>
      <c r="J311" s="5" t="s">
        <v>12</v>
      </c>
    </row>
    <row r="312" spans="1:10" x14ac:dyDescent="0.25">
      <c r="A312" s="7">
        <v>15652400</v>
      </c>
      <c r="B312" s="8" t="s">
        <v>14</v>
      </c>
      <c r="C312" s="9">
        <v>50000</v>
      </c>
      <c r="D312" s="10">
        <v>38</v>
      </c>
      <c r="E312" s="10">
        <v>0</v>
      </c>
      <c r="F312" s="10">
        <f>IF(G312&gt;=Modelo!$B$10,1,0)</f>
        <v>0</v>
      </c>
      <c r="G312" s="11">
        <f>1/(1+EXP(-(Modelo!$B$5+Modelo!$B$6*D312+Modelo!$B$7*C312+Modelo!$B$8*IF(B312="Male",1,0))))</f>
        <v>0.12298741151283034</v>
      </c>
      <c r="H312" s="11">
        <f t="shared" si="8"/>
        <v>0.87701258848716968</v>
      </c>
      <c r="I312" s="10" t="str">
        <f t="shared" si="9"/>
        <v>Sí</v>
      </c>
      <c r="J312" s="10" t="s">
        <v>12</v>
      </c>
    </row>
    <row r="313" spans="1:10" x14ac:dyDescent="0.25">
      <c r="A313" s="2">
        <v>15717893</v>
      </c>
      <c r="B313" s="3" t="s">
        <v>14</v>
      </c>
      <c r="C313" s="4">
        <v>70000</v>
      </c>
      <c r="D313" s="5">
        <v>42</v>
      </c>
      <c r="E313" s="5">
        <v>0</v>
      </c>
      <c r="F313" s="5">
        <f>IF(G313&gt;=Modelo!$B$10,1,0)</f>
        <v>0</v>
      </c>
      <c r="G313" s="6">
        <f>1/(1+EXP(-(Modelo!$B$5+Modelo!$B$6*D313+Modelo!$B$7*C313+Modelo!$B$8*IF(B313="Male",1,0))))</f>
        <v>0.43250519603759002</v>
      </c>
      <c r="H313" s="6">
        <f t="shared" si="8"/>
        <v>0.56749480396240992</v>
      </c>
      <c r="I313" s="5" t="str">
        <f t="shared" si="9"/>
        <v>Sí</v>
      </c>
      <c r="J313" s="5" t="s">
        <v>12</v>
      </c>
    </row>
    <row r="314" spans="1:10" x14ac:dyDescent="0.25">
      <c r="A314" s="7">
        <v>15622585</v>
      </c>
      <c r="B314" s="8" t="s">
        <v>11</v>
      </c>
      <c r="C314" s="9">
        <v>96000</v>
      </c>
      <c r="D314" s="10">
        <v>39</v>
      </c>
      <c r="E314" s="10">
        <v>1</v>
      </c>
      <c r="F314" s="10">
        <f>IF(G314&gt;=Modelo!$B$10,1,0)</f>
        <v>1</v>
      </c>
      <c r="G314" s="11">
        <f>1/(1+EXP(-(Modelo!$B$5+Modelo!$B$6*D314+Modelo!$B$7*C314+Modelo!$B$8*IF(B314="Male",1,0))))</f>
        <v>0.58892729378043218</v>
      </c>
      <c r="H314" s="11">
        <f t="shared" si="8"/>
        <v>0.58892729378043218</v>
      </c>
      <c r="I314" s="10" t="str">
        <f t="shared" si="9"/>
        <v>Sí</v>
      </c>
      <c r="J314" s="10" t="s">
        <v>12</v>
      </c>
    </row>
    <row r="315" spans="1:10" x14ac:dyDescent="0.25">
      <c r="A315" s="2">
        <v>15733964</v>
      </c>
      <c r="B315" s="3" t="s">
        <v>14</v>
      </c>
      <c r="C315" s="4">
        <v>50000</v>
      </c>
      <c r="D315" s="5">
        <v>38</v>
      </c>
      <c r="E315" s="5">
        <v>0</v>
      </c>
      <c r="F315" s="5">
        <f>IF(G315&gt;=Modelo!$B$10,1,0)</f>
        <v>0</v>
      </c>
      <c r="G315" s="6">
        <f>1/(1+EXP(-(Modelo!$B$5+Modelo!$B$6*D315+Modelo!$B$7*C315+Modelo!$B$8*IF(B315="Male",1,0))))</f>
        <v>0.12298741151283034</v>
      </c>
      <c r="H315" s="6">
        <f t="shared" si="8"/>
        <v>0.87701258848716968</v>
      </c>
      <c r="I315" s="5" t="str">
        <f t="shared" si="9"/>
        <v>Sí</v>
      </c>
      <c r="J315" s="5" t="s">
        <v>12</v>
      </c>
    </row>
    <row r="316" spans="1:10" x14ac:dyDescent="0.25">
      <c r="A316" s="7">
        <v>15753861</v>
      </c>
      <c r="B316" s="8" t="s">
        <v>14</v>
      </c>
      <c r="C316" s="9">
        <v>141000</v>
      </c>
      <c r="D316" s="10">
        <v>49</v>
      </c>
      <c r="E316" s="10">
        <v>1</v>
      </c>
      <c r="F316" s="10">
        <f>IF(G316&gt;=Modelo!$B$10,1,0)</f>
        <v>1</v>
      </c>
      <c r="G316" s="11">
        <f>1/(1+EXP(-(Modelo!$B$5+Modelo!$B$6*D316+Modelo!$B$7*C316+Modelo!$B$8*IF(B316="Male",1,0))))</f>
        <v>0.98378961417270139</v>
      </c>
      <c r="H316" s="11">
        <f t="shared" si="8"/>
        <v>0.98378961417270139</v>
      </c>
      <c r="I316" s="10" t="str">
        <f t="shared" si="9"/>
        <v>Sí</v>
      </c>
      <c r="J316" s="10" t="s">
        <v>12</v>
      </c>
    </row>
    <row r="317" spans="1:10" x14ac:dyDescent="0.25">
      <c r="A317" s="2">
        <v>15747097</v>
      </c>
      <c r="B317" s="3" t="s">
        <v>14</v>
      </c>
      <c r="C317" s="4">
        <v>79000</v>
      </c>
      <c r="D317" s="5">
        <v>39</v>
      </c>
      <c r="E317" s="5">
        <v>0</v>
      </c>
      <c r="F317" s="5">
        <f>IF(G317&gt;=Modelo!$B$10,1,0)</f>
        <v>0</v>
      </c>
      <c r="G317" s="6">
        <f>1/(1+EXP(-(Modelo!$B$5+Modelo!$B$6*D317+Modelo!$B$7*C317+Modelo!$B$8*IF(B317="Male",1,0))))</f>
        <v>0.35482204391330657</v>
      </c>
      <c r="H317" s="6">
        <f t="shared" si="8"/>
        <v>0.64517795608669348</v>
      </c>
      <c r="I317" s="5" t="str">
        <f t="shared" si="9"/>
        <v>Sí</v>
      </c>
      <c r="J317" s="5" t="s">
        <v>12</v>
      </c>
    </row>
    <row r="318" spans="1:10" x14ac:dyDescent="0.25">
      <c r="A318" s="7">
        <v>15594762</v>
      </c>
      <c r="B318" s="8" t="s">
        <v>14</v>
      </c>
      <c r="C318" s="9">
        <v>75000</v>
      </c>
      <c r="D318" s="10">
        <v>39</v>
      </c>
      <c r="E318" s="10">
        <v>1</v>
      </c>
      <c r="F318" s="10">
        <f>IF(G318&gt;=Modelo!$B$10,1,0)</f>
        <v>0</v>
      </c>
      <c r="G318" s="11">
        <f>1/(1+EXP(-(Modelo!$B$5+Modelo!$B$6*D318+Modelo!$B$7*C318+Modelo!$B$8*IF(B318="Male",1,0))))</f>
        <v>0.31970424492030514</v>
      </c>
      <c r="H318" s="11">
        <f t="shared" si="8"/>
        <v>0.68029575507969486</v>
      </c>
      <c r="I318" s="10" t="str">
        <f t="shared" si="9"/>
        <v>No</v>
      </c>
      <c r="J318" s="10" t="s">
        <v>13</v>
      </c>
    </row>
    <row r="319" spans="1:10" x14ac:dyDescent="0.25">
      <c r="A319" s="2">
        <v>15667417</v>
      </c>
      <c r="B319" s="3" t="s">
        <v>14</v>
      </c>
      <c r="C319" s="4">
        <v>104000</v>
      </c>
      <c r="D319" s="5">
        <v>54</v>
      </c>
      <c r="E319" s="5">
        <v>1</v>
      </c>
      <c r="F319" s="5">
        <f>IF(G319&gt;=Modelo!$B$10,1,0)</f>
        <v>1</v>
      </c>
      <c r="G319" s="6">
        <f>1/(1+EXP(-(Modelo!$B$5+Modelo!$B$6*D319+Modelo!$B$7*C319+Modelo!$B$8*IF(B319="Male",1,0))))</f>
        <v>0.97779167119305876</v>
      </c>
      <c r="H319" s="6">
        <f t="shared" si="8"/>
        <v>0.97779167119305876</v>
      </c>
      <c r="I319" s="5" t="str">
        <f t="shared" si="9"/>
        <v>Sí</v>
      </c>
      <c r="J319" s="5" t="s">
        <v>12</v>
      </c>
    </row>
    <row r="320" spans="1:10" x14ac:dyDescent="0.25">
      <c r="A320" s="7">
        <v>15684861</v>
      </c>
      <c r="B320" s="8" t="s">
        <v>11</v>
      </c>
      <c r="C320" s="9">
        <v>55000</v>
      </c>
      <c r="D320" s="10">
        <v>35</v>
      </c>
      <c r="E320" s="10">
        <v>0</v>
      </c>
      <c r="F320" s="10">
        <f>IF(G320&gt;=Modelo!$B$10,1,0)</f>
        <v>0</v>
      </c>
      <c r="G320" s="11">
        <f>1/(1+EXP(-(Modelo!$B$5+Modelo!$B$6*D320+Modelo!$B$7*C320+Modelo!$B$8*IF(B320="Male",1,0))))</f>
        <v>0.10352267364031913</v>
      </c>
      <c r="H320" s="11">
        <f t="shared" si="8"/>
        <v>0.89647732635968091</v>
      </c>
      <c r="I320" s="10" t="str">
        <f t="shared" si="9"/>
        <v>Sí</v>
      </c>
      <c r="J320" s="10" t="s">
        <v>12</v>
      </c>
    </row>
    <row r="321" spans="1:10" x14ac:dyDescent="0.25">
      <c r="A321" s="2">
        <v>15742204</v>
      </c>
      <c r="B321" s="3" t="s">
        <v>11</v>
      </c>
      <c r="C321" s="4">
        <v>32000</v>
      </c>
      <c r="D321" s="5">
        <v>45</v>
      </c>
      <c r="E321" s="5">
        <v>1</v>
      </c>
      <c r="F321" s="5">
        <f>IF(G321&gt;=Modelo!$B$10,1,0)</f>
        <v>0</v>
      </c>
      <c r="G321" s="6">
        <f>1/(1+EXP(-(Modelo!$B$5+Modelo!$B$6*D321+Modelo!$B$7*C321+Modelo!$B$8*IF(B321="Male",1,0))))</f>
        <v>0.31088832968112456</v>
      </c>
      <c r="H321" s="6">
        <f t="shared" si="8"/>
        <v>0.68911167031887544</v>
      </c>
      <c r="I321" s="5" t="str">
        <f t="shared" si="9"/>
        <v>No</v>
      </c>
      <c r="J321" s="5" t="s">
        <v>12</v>
      </c>
    </row>
    <row r="322" spans="1:10" x14ac:dyDescent="0.25">
      <c r="A322" s="7">
        <v>15623502</v>
      </c>
      <c r="B322" s="8" t="s">
        <v>11</v>
      </c>
      <c r="C322" s="9">
        <v>60000</v>
      </c>
      <c r="D322" s="10">
        <v>36</v>
      </c>
      <c r="E322" s="10">
        <v>0</v>
      </c>
      <c r="F322" s="10">
        <f>IF(G322&gt;=Modelo!$B$10,1,0)</f>
        <v>0</v>
      </c>
      <c r="G322" s="11">
        <f>1/(1+EXP(-(Modelo!$B$5+Modelo!$B$6*D322+Modelo!$B$7*C322+Modelo!$B$8*IF(B322="Male",1,0))))</f>
        <v>0.14988773692275867</v>
      </c>
      <c r="H322" s="11">
        <f t="shared" si="8"/>
        <v>0.8501122630772413</v>
      </c>
      <c r="I322" s="10" t="str">
        <f t="shared" si="9"/>
        <v>Sí</v>
      </c>
      <c r="J322" s="10" t="s">
        <v>12</v>
      </c>
    </row>
    <row r="323" spans="1:10" x14ac:dyDescent="0.25">
      <c r="A323" s="2">
        <v>15774872</v>
      </c>
      <c r="B323" s="3" t="s">
        <v>14</v>
      </c>
      <c r="C323" s="4">
        <v>138000</v>
      </c>
      <c r="D323" s="5">
        <v>52</v>
      </c>
      <c r="E323" s="5">
        <v>1</v>
      </c>
      <c r="F323" s="5">
        <f>IF(G323&gt;=Modelo!$B$10,1,0)</f>
        <v>1</v>
      </c>
      <c r="G323" s="6">
        <f>1/(1+EXP(-(Modelo!$B$5+Modelo!$B$6*D323+Modelo!$B$7*C323+Modelo!$B$8*IF(B323="Male",1,0))))</f>
        <v>0.99069509131288336</v>
      </c>
      <c r="H323" s="6">
        <f t="shared" ref="H323:H386" si="10">MAX(G323,1-G323)</f>
        <v>0.99069509131288336</v>
      </c>
      <c r="I323" s="5" t="str">
        <f t="shared" ref="I323:I386" si="11">IF(F323=E323,"Sí","No")</f>
        <v>Sí</v>
      </c>
      <c r="J323" s="5" t="s">
        <v>12</v>
      </c>
    </row>
    <row r="324" spans="1:10" x14ac:dyDescent="0.25">
      <c r="A324" s="7">
        <v>15611191</v>
      </c>
      <c r="B324" s="8" t="s">
        <v>14</v>
      </c>
      <c r="C324" s="9">
        <v>82000</v>
      </c>
      <c r="D324" s="10">
        <v>53</v>
      </c>
      <c r="E324" s="10">
        <v>1</v>
      </c>
      <c r="F324" s="10">
        <f>IF(G324&gt;=Modelo!$B$10,1,0)</f>
        <v>1</v>
      </c>
      <c r="G324" s="11">
        <f>1/(1+EXP(-(Modelo!$B$5+Modelo!$B$6*D324+Modelo!$B$7*C324+Modelo!$B$8*IF(B324="Male",1,0))))</f>
        <v>0.93663828345216016</v>
      </c>
      <c r="H324" s="11">
        <f t="shared" si="10"/>
        <v>0.93663828345216016</v>
      </c>
      <c r="I324" s="10" t="str">
        <f t="shared" si="11"/>
        <v>Sí</v>
      </c>
      <c r="J324" s="10" t="s">
        <v>12</v>
      </c>
    </row>
    <row r="325" spans="1:10" x14ac:dyDescent="0.25">
      <c r="A325" s="2">
        <v>15674331</v>
      </c>
      <c r="B325" s="3" t="s">
        <v>11</v>
      </c>
      <c r="C325" s="4">
        <v>52000</v>
      </c>
      <c r="D325" s="5">
        <v>41</v>
      </c>
      <c r="E325" s="5">
        <v>0</v>
      </c>
      <c r="F325" s="5">
        <f>IF(G325&gt;=Modelo!$B$10,1,0)</f>
        <v>0</v>
      </c>
      <c r="G325" s="6">
        <f>1/(1+EXP(-(Modelo!$B$5+Modelo!$B$6*D325+Modelo!$B$7*C325+Modelo!$B$8*IF(B325="Male",1,0))))</f>
        <v>0.28566002759351689</v>
      </c>
      <c r="H325" s="6">
        <f t="shared" si="10"/>
        <v>0.71433997240648317</v>
      </c>
      <c r="I325" s="5" t="str">
        <f t="shared" si="11"/>
        <v>Sí</v>
      </c>
      <c r="J325" s="5" t="s">
        <v>13</v>
      </c>
    </row>
    <row r="326" spans="1:10" x14ac:dyDescent="0.25">
      <c r="A326" s="7">
        <v>15619465</v>
      </c>
      <c r="B326" s="8" t="s">
        <v>14</v>
      </c>
      <c r="C326" s="9">
        <v>30000</v>
      </c>
      <c r="D326" s="10">
        <v>48</v>
      </c>
      <c r="E326" s="10">
        <v>1</v>
      </c>
      <c r="F326" s="10">
        <f>IF(G326&gt;=Modelo!$B$10,1,0)</f>
        <v>0</v>
      </c>
      <c r="G326" s="11">
        <f>1/(1+EXP(-(Modelo!$B$5+Modelo!$B$6*D326+Modelo!$B$7*C326+Modelo!$B$8*IF(B326="Male",1,0))))</f>
        <v>0.38135275342366332</v>
      </c>
      <c r="H326" s="11">
        <f t="shared" si="10"/>
        <v>0.61864724657633663</v>
      </c>
      <c r="I326" s="10" t="str">
        <f t="shared" si="11"/>
        <v>No</v>
      </c>
      <c r="J326" s="10" t="s">
        <v>12</v>
      </c>
    </row>
    <row r="327" spans="1:10" x14ac:dyDescent="0.25">
      <c r="A327" s="2">
        <v>15575247</v>
      </c>
      <c r="B327" s="3" t="s">
        <v>14</v>
      </c>
      <c r="C327" s="4">
        <v>131000</v>
      </c>
      <c r="D327" s="5">
        <v>48</v>
      </c>
      <c r="E327" s="5">
        <v>1</v>
      </c>
      <c r="F327" s="5">
        <f>IF(G327&gt;=Modelo!$B$10,1,0)</f>
        <v>1</v>
      </c>
      <c r="G327" s="6">
        <f>1/(1+EXP(-(Modelo!$B$5+Modelo!$B$6*D327+Modelo!$B$7*C327+Modelo!$B$8*IF(B327="Male",1,0))))</f>
        <v>0.97028772897803217</v>
      </c>
      <c r="H327" s="6">
        <f t="shared" si="10"/>
        <v>0.97028772897803217</v>
      </c>
      <c r="I327" s="5" t="str">
        <f t="shared" si="11"/>
        <v>Sí</v>
      </c>
      <c r="J327" s="5" t="s">
        <v>12</v>
      </c>
    </row>
    <row r="328" spans="1:10" x14ac:dyDescent="0.25">
      <c r="A328" s="7">
        <v>15695679</v>
      </c>
      <c r="B328" s="8" t="s">
        <v>14</v>
      </c>
      <c r="C328" s="9">
        <v>60000</v>
      </c>
      <c r="D328" s="10">
        <v>41</v>
      </c>
      <c r="E328" s="10">
        <v>0</v>
      </c>
      <c r="F328" s="10">
        <f>IF(G328&gt;=Modelo!$B$10,1,0)</f>
        <v>0</v>
      </c>
      <c r="G328" s="11">
        <f>1/(1+EXP(-(Modelo!$B$5+Modelo!$B$6*D328+Modelo!$B$7*C328+Modelo!$B$8*IF(B328="Male",1,0))))</f>
        <v>0.29082829103119823</v>
      </c>
      <c r="H328" s="11">
        <f t="shared" si="10"/>
        <v>0.70917170896880177</v>
      </c>
      <c r="I328" s="10" t="str">
        <f t="shared" si="11"/>
        <v>Sí</v>
      </c>
      <c r="J328" s="10" t="s">
        <v>12</v>
      </c>
    </row>
    <row r="329" spans="1:10" x14ac:dyDescent="0.25">
      <c r="A329" s="2">
        <v>15713463</v>
      </c>
      <c r="B329" s="3" t="s">
        <v>11</v>
      </c>
      <c r="C329" s="4">
        <v>72000</v>
      </c>
      <c r="D329" s="5">
        <v>41</v>
      </c>
      <c r="E329" s="5">
        <v>0</v>
      </c>
      <c r="F329" s="5">
        <f>IF(G329&gt;=Modelo!$B$10,1,0)</f>
        <v>0</v>
      </c>
      <c r="G329" s="6">
        <f>1/(1+EXP(-(Modelo!$B$5+Modelo!$B$6*D329+Modelo!$B$7*C329+Modelo!$B$8*IF(B329="Male",1,0))))</f>
        <v>0.46743389424043408</v>
      </c>
      <c r="H329" s="6">
        <f t="shared" si="10"/>
        <v>0.53256610575956587</v>
      </c>
      <c r="I329" s="5" t="str">
        <f t="shared" si="11"/>
        <v>Sí</v>
      </c>
      <c r="J329" s="5" t="s">
        <v>12</v>
      </c>
    </row>
    <row r="330" spans="1:10" x14ac:dyDescent="0.25">
      <c r="A330" s="7">
        <v>15785170</v>
      </c>
      <c r="B330" s="8" t="s">
        <v>14</v>
      </c>
      <c r="C330" s="9">
        <v>75000</v>
      </c>
      <c r="D330" s="10">
        <v>42</v>
      </c>
      <c r="E330" s="10">
        <v>0</v>
      </c>
      <c r="F330" s="10">
        <f>IF(G330&gt;=Modelo!$B$10,1,0)</f>
        <v>0</v>
      </c>
      <c r="G330" s="11">
        <f>1/(1+EXP(-(Modelo!$B$5+Modelo!$B$6*D330+Modelo!$B$7*C330+Modelo!$B$8*IF(B330="Male",1,0))))</f>
        <v>0.48123122941667007</v>
      </c>
      <c r="H330" s="11">
        <f t="shared" si="10"/>
        <v>0.51876877058332993</v>
      </c>
      <c r="I330" s="10" t="str">
        <f t="shared" si="11"/>
        <v>Sí</v>
      </c>
      <c r="J330" s="10" t="s">
        <v>12</v>
      </c>
    </row>
    <row r="331" spans="1:10" x14ac:dyDescent="0.25">
      <c r="A331" s="2">
        <v>15796351</v>
      </c>
      <c r="B331" s="3" t="s">
        <v>11</v>
      </c>
      <c r="C331" s="4">
        <v>118000</v>
      </c>
      <c r="D331" s="5">
        <v>36</v>
      </c>
      <c r="E331" s="5">
        <v>1</v>
      </c>
      <c r="F331" s="5">
        <f>IF(G331&gt;=Modelo!$B$10,1,0)</f>
        <v>1</v>
      </c>
      <c r="G331" s="6">
        <f>1/(1+EXP(-(Modelo!$B$5+Modelo!$B$6*D331+Modelo!$B$7*C331+Modelo!$B$8*IF(B331="Male",1,0))))</f>
        <v>0.63279586767923213</v>
      </c>
      <c r="H331" s="6">
        <f t="shared" si="10"/>
        <v>0.63279586767923213</v>
      </c>
      <c r="I331" s="5" t="str">
        <f t="shared" si="11"/>
        <v>Sí</v>
      </c>
      <c r="J331" s="5" t="s">
        <v>12</v>
      </c>
    </row>
    <row r="332" spans="1:10" x14ac:dyDescent="0.25">
      <c r="A332" s="7">
        <v>15639576</v>
      </c>
      <c r="B332" s="8" t="s">
        <v>14</v>
      </c>
      <c r="C332" s="9">
        <v>107000</v>
      </c>
      <c r="D332" s="10">
        <v>47</v>
      </c>
      <c r="E332" s="10">
        <v>1</v>
      </c>
      <c r="F332" s="10">
        <f>IF(G332&gt;=Modelo!$B$10,1,0)</f>
        <v>1</v>
      </c>
      <c r="G332" s="11">
        <f>1/(1+EXP(-(Modelo!$B$5+Modelo!$B$6*D332+Modelo!$B$7*C332+Modelo!$B$8*IF(B332="Male",1,0))))</f>
        <v>0.91019595290840349</v>
      </c>
      <c r="H332" s="11">
        <f t="shared" si="10"/>
        <v>0.91019595290840349</v>
      </c>
      <c r="I332" s="10" t="str">
        <f t="shared" si="11"/>
        <v>Sí</v>
      </c>
      <c r="J332" s="10" t="s">
        <v>12</v>
      </c>
    </row>
    <row r="333" spans="1:10" x14ac:dyDescent="0.25">
      <c r="A333" s="2">
        <v>15693264</v>
      </c>
      <c r="B333" s="3" t="s">
        <v>11</v>
      </c>
      <c r="C333" s="4">
        <v>51000</v>
      </c>
      <c r="D333" s="5">
        <v>38</v>
      </c>
      <c r="E333" s="5">
        <v>0</v>
      </c>
      <c r="F333" s="5">
        <f>IF(G333&gt;=Modelo!$B$10,1,0)</f>
        <v>0</v>
      </c>
      <c r="G333" s="6">
        <f>1/(1+EXP(-(Modelo!$B$5+Modelo!$B$6*D333+Modelo!$B$7*C333+Modelo!$B$8*IF(B333="Male",1,0))))</f>
        <v>0.16302605350954522</v>
      </c>
      <c r="H333" s="6">
        <f t="shared" si="10"/>
        <v>0.83697394649045476</v>
      </c>
      <c r="I333" s="5" t="str">
        <f t="shared" si="11"/>
        <v>Sí</v>
      </c>
      <c r="J333" s="5" t="s">
        <v>12</v>
      </c>
    </row>
    <row r="334" spans="1:10" x14ac:dyDescent="0.25">
      <c r="A334" s="7">
        <v>15589715</v>
      </c>
      <c r="B334" s="8" t="s">
        <v>14</v>
      </c>
      <c r="C334" s="9">
        <v>119000</v>
      </c>
      <c r="D334" s="10">
        <v>48</v>
      </c>
      <c r="E334" s="10">
        <v>1</v>
      </c>
      <c r="F334" s="10">
        <f>IF(G334&gt;=Modelo!$B$10,1,0)</f>
        <v>1</v>
      </c>
      <c r="G334" s="11">
        <f>1/(1+EXP(-(Modelo!$B$5+Modelo!$B$6*D334+Modelo!$B$7*C334+Modelo!$B$8*IF(B334="Male",1,0))))</f>
        <v>0.95321902137776549</v>
      </c>
      <c r="H334" s="11">
        <f t="shared" si="10"/>
        <v>0.95321902137776549</v>
      </c>
      <c r="I334" s="10" t="str">
        <f t="shared" si="11"/>
        <v>Sí</v>
      </c>
      <c r="J334" s="10" t="s">
        <v>13</v>
      </c>
    </row>
    <row r="335" spans="1:10" x14ac:dyDescent="0.25">
      <c r="A335" s="2">
        <v>15769902</v>
      </c>
      <c r="B335" s="3" t="s">
        <v>11</v>
      </c>
      <c r="C335" s="4">
        <v>65000</v>
      </c>
      <c r="D335" s="5">
        <v>42</v>
      </c>
      <c r="E335" s="5">
        <v>0</v>
      </c>
      <c r="F335" s="5">
        <f>IF(G335&gt;=Modelo!$B$10,1,0)</f>
        <v>0</v>
      </c>
      <c r="G335" s="6">
        <f>1/(1+EXP(-(Modelo!$B$5+Modelo!$B$6*D335+Modelo!$B$7*C335+Modelo!$B$8*IF(B335="Male",1,0))))</f>
        <v>0.45539066072437734</v>
      </c>
      <c r="H335" s="6">
        <f t="shared" si="10"/>
        <v>0.54460933927562261</v>
      </c>
      <c r="I335" s="5" t="str">
        <f t="shared" si="11"/>
        <v>Sí</v>
      </c>
      <c r="J335" s="5" t="s">
        <v>12</v>
      </c>
    </row>
    <row r="336" spans="1:10" x14ac:dyDescent="0.25">
      <c r="A336" s="7">
        <v>15587177</v>
      </c>
      <c r="B336" s="8" t="s">
        <v>11</v>
      </c>
      <c r="C336" s="9">
        <v>65000</v>
      </c>
      <c r="D336" s="10">
        <v>40</v>
      </c>
      <c r="E336" s="10">
        <v>0</v>
      </c>
      <c r="F336" s="10">
        <f>IF(G336&gt;=Modelo!$B$10,1,0)</f>
        <v>0</v>
      </c>
      <c r="G336" s="11">
        <f>1/(1+EXP(-(Modelo!$B$5+Modelo!$B$6*D336+Modelo!$B$7*C336+Modelo!$B$8*IF(B336="Male",1,0))))</f>
        <v>0.34699818263088905</v>
      </c>
      <c r="H336" s="11">
        <f t="shared" si="10"/>
        <v>0.653001817369111</v>
      </c>
      <c r="I336" s="10" t="str">
        <f t="shared" si="11"/>
        <v>Sí</v>
      </c>
      <c r="J336" s="10" t="s">
        <v>12</v>
      </c>
    </row>
    <row r="337" spans="1:10" x14ac:dyDescent="0.25">
      <c r="A337" s="2">
        <v>15814553</v>
      </c>
      <c r="B337" s="3" t="s">
        <v>11</v>
      </c>
      <c r="C337" s="4">
        <v>60000</v>
      </c>
      <c r="D337" s="5">
        <v>57</v>
      </c>
      <c r="E337" s="5">
        <v>1</v>
      </c>
      <c r="F337" s="5">
        <f>IF(G337&gt;=Modelo!$B$10,1,0)</f>
        <v>1</v>
      </c>
      <c r="G337" s="6">
        <f>1/(1+EXP(-(Modelo!$B$5+Modelo!$B$6*D337+Modelo!$B$7*C337+Modelo!$B$8*IF(B337="Male",1,0))))</f>
        <v>0.95367603887959862</v>
      </c>
      <c r="H337" s="6">
        <f t="shared" si="10"/>
        <v>0.95367603887959862</v>
      </c>
      <c r="I337" s="5" t="str">
        <f t="shared" si="11"/>
        <v>Sí</v>
      </c>
      <c r="J337" s="5" t="s">
        <v>12</v>
      </c>
    </row>
    <row r="338" spans="1:10" x14ac:dyDescent="0.25">
      <c r="A338" s="7">
        <v>15601550</v>
      </c>
      <c r="B338" s="8" t="s">
        <v>14</v>
      </c>
      <c r="C338" s="9">
        <v>54000</v>
      </c>
      <c r="D338" s="10">
        <v>36</v>
      </c>
      <c r="E338" s="10">
        <v>0</v>
      </c>
      <c r="F338" s="10">
        <f>IF(G338&gt;=Modelo!$B$10,1,0)</f>
        <v>0</v>
      </c>
      <c r="G338" s="11">
        <f>1/(1+EXP(-(Modelo!$B$5+Modelo!$B$6*D338+Modelo!$B$7*C338+Modelo!$B$8*IF(B338="Male",1,0))))</f>
        <v>9.444202684940653E-2</v>
      </c>
      <c r="H338" s="11">
        <f t="shared" si="10"/>
        <v>0.9055579731505935</v>
      </c>
      <c r="I338" s="10" t="str">
        <f t="shared" si="11"/>
        <v>Sí</v>
      </c>
      <c r="J338" s="10" t="s">
        <v>12</v>
      </c>
    </row>
    <row r="339" spans="1:10" x14ac:dyDescent="0.25">
      <c r="A339" s="2">
        <v>15664907</v>
      </c>
      <c r="B339" s="3" t="s">
        <v>11</v>
      </c>
      <c r="C339" s="4">
        <v>144000</v>
      </c>
      <c r="D339" s="5">
        <v>58</v>
      </c>
      <c r="E339" s="5">
        <v>1</v>
      </c>
      <c r="F339" s="5">
        <f>IF(G339&gt;=Modelo!$B$10,1,0)</f>
        <v>1</v>
      </c>
      <c r="G339" s="6">
        <f>1/(1+EXP(-(Modelo!$B$5+Modelo!$B$6*D339+Modelo!$B$7*C339+Modelo!$B$8*IF(B339="Male",1,0))))</f>
        <v>0.9985761840537255</v>
      </c>
      <c r="H339" s="6">
        <f t="shared" si="10"/>
        <v>0.9985761840537255</v>
      </c>
      <c r="I339" s="5" t="str">
        <f t="shared" si="11"/>
        <v>Sí</v>
      </c>
      <c r="J339" s="5" t="s">
        <v>12</v>
      </c>
    </row>
    <row r="340" spans="1:10" x14ac:dyDescent="0.25">
      <c r="A340" s="7">
        <v>15612465</v>
      </c>
      <c r="B340" s="8" t="s">
        <v>11</v>
      </c>
      <c r="C340" s="9">
        <v>79000</v>
      </c>
      <c r="D340" s="10">
        <v>35</v>
      </c>
      <c r="E340" s="10">
        <v>0</v>
      </c>
      <c r="F340" s="10">
        <f>IF(G340&gt;=Modelo!$B$10,1,0)</f>
        <v>0</v>
      </c>
      <c r="G340" s="11">
        <f>1/(1+EXP(-(Modelo!$B$5+Modelo!$B$6*D340+Modelo!$B$7*C340+Modelo!$B$8*IF(B340="Male",1,0))))</f>
        <v>0.22875521267874063</v>
      </c>
      <c r="H340" s="11">
        <f t="shared" si="10"/>
        <v>0.77124478732125934</v>
      </c>
      <c r="I340" s="10" t="str">
        <f t="shared" si="11"/>
        <v>Sí</v>
      </c>
      <c r="J340" s="10" t="s">
        <v>12</v>
      </c>
    </row>
    <row r="341" spans="1:10" x14ac:dyDescent="0.25">
      <c r="A341" s="2">
        <v>15810800</v>
      </c>
      <c r="B341" s="3" t="s">
        <v>14</v>
      </c>
      <c r="C341" s="4">
        <v>55000</v>
      </c>
      <c r="D341" s="5">
        <v>38</v>
      </c>
      <c r="E341" s="5">
        <v>0</v>
      </c>
      <c r="F341" s="5">
        <f>IF(G341&gt;=Modelo!$B$10,1,0)</f>
        <v>0</v>
      </c>
      <c r="G341" s="6">
        <f>1/(1+EXP(-(Modelo!$B$5+Modelo!$B$6*D341+Modelo!$B$7*C341+Modelo!$B$8*IF(B341="Male",1,0))))</f>
        <v>0.1458021267189106</v>
      </c>
      <c r="H341" s="6">
        <f t="shared" si="10"/>
        <v>0.85419787328108943</v>
      </c>
      <c r="I341" s="5" t="str">
        <f t="shared" si="11"/>
        <v>Sí</v>
      </c>
      <c r="J341" s="5" t="s">
        <v>13</v>
      </c>
    </row>
    <row r="342" spans="1:10" x14ac:dyDescent="0.25">
      <c r="A342" s="7">
        <v>15665760</v>
      </c>
      <c r="B342" s="8" t="s">
        <v>11</v>
      </c>
      <c r="C342" s="9">
        <v>122000</v>
      </c>
      <c r="D342" s="10">
        <v>39</v>
      </c>
      <c r="E342" s="10">
        <v>1</v>
      </c>
      <c r="F342" s="10">
        <f>IF(G342&gt;=Modelo!$B$10,1,0)</f>
        <v>1</v>
      </c>
      <c r="G342" s="11">
        <f>1/(1+EXP(-(Modelo!$B$5+Modelo!$B$6*D342+Modelo!$B$7*C342+Modelo!$B$8*IF(B342="Male",1,0))))</f>
        <v>0.79922737111770259</v>
      </c>
      <c r="H342" s="11">
        <f t="shared" si="10"/>
        <v>0.79922737111770259</v>
      </c>
      <c r="I342" s="10" t="str">
        <f t="shared" si="11"/>
        <v>Sí</v>
      </c>
      <c r="J342" s="10" t="s">
        <v>12</v>
      </c>
    </row>
    <row r="343" spans="1:10" x14ac:dyDescent="0.25">
      <c r="A343" s="2">
        <v>15588080</v>
      </c>
      <c r="B343" s="3" t="s">
        <v>14</v>
      </c>
      <c r="C343" s="4">
        <v>104000</v>
      </c>
      <c r="D343" s="5">
        <v>53</v>
      </c>
      <c r="E343" s="5">
        <v>1</v>
      </c>
      <c r="F343" s="5">
        <f>IF(G343&gt;=Modelo!$B$10,1,0)</f>
        <v>1</v>
      </c>
      <c r="G343" s="6">
        <f>1/(1+EXP(-(Modelo!$B$5+Modelo!$B$6*D343+Modelo!$B$7*C343+Modelo!$B$8*IF(B343="Male",1,0))))</f>
        <v>0.97229794262672009</v>
      </c>
      <c r="H343" s="6">
        <f t="shared" si="10"/>
        <v>0.97229794262672009</v>
      </c>
      <c r="I343" s="5" t="str">
        <f t="shared" si="11"/>
        <v>Sí</v>
      </c>
      <c r="J343" s="5" t="s">
        <v>12</v>
      </c>
    </row>
    <row r="344" spans="1:10" x14ac:dyDescent="0.25">
      <c r="A344" s="7">
        <v>15776844</v>
      </c>
      <c r="B344" s="8" t="s">
        <v>11</v>
      </c>
      <c r="C344" s="9">
        <v>75000</v>
      </c>
      <c r="D344" s="10">
        <v>35</v>
      </c>
      <c r="E344" s="10">
        <v>0</v>
      </c>
      <c r="F344" s="10">
        <f>IF(G344&gt;=Modelo!$B$10,1,0)</f>
        <v>0</v>
      </c>
      <c r="G344" s="11">
        <f>1/(1+EXP(-(Modelo!$B$5+Modelo!$B$6*D344+Modelo!$B$7*C344+Modelo!$B$8*IF(B344="Male",1,0))))</f>
        <v>0.20220416274569802</v>
      </c>
      <c r="H344" s="11">
        <f t="shared" si="10"/>
        <v>0.79779583725430192</v>
      </c>
      <c r="I344" s="10" t="str">
        <f t="shared" si="11"/>
        <v>Sí</v>
      </c>
      <c r="J344" s="10" t="s">
        <v>12</v>
      </c>
    </row>
    <row r="345" spans="1:10" x14ac:dyDescent="0.25">
      <c r="A345" s="2">
        <v>15717560</v>
      </c>
      <c r="B345" s="3" t="s">
        <v>14</v>
      </c>
      <c r="C345" s="4">
        <v>65000</v>
      </c>
      <c r="D345" s="5">
        <v>38</v>
      </c>
      <c r="E345" s="5">
        <v>0</v>
      </c>
      <c r="F345" s="5">
        <f>IF(G345&gt;=Modelo!$B$10,1,0)</f>
        <v>0</v>
      </c>
      <c r="G345" s="6">
        <f>1/(1+EXP(-(Modelo!$B$5+Modelo!$B$6*D345+Modelo!$B$7*C345+Modelo!$B$8*IF(B345="Male",1,0))))</f>
        <v>0.20183598370397118</v>
      </c>
      <c r="H345" s="6">
        <f t="shared" si="10"/>
        <v>0.79816401629602884</v>
      </c>
      <c r="I345" s="5" t="str">
        <f t="shared" si="11"/>
        <v>Sí</v>
      </c>
      <c r="J345" s="5" t="s">
        <v>12</v>
      </c>
    </row>
    <row r="346" spans="1:10" x14ac:dyDescent="0.25">
      <c r="A346" s="7">
        <v>15629739</v>
      </c>
      <c r="B346" s="8" t="s">
        <v>14</v>
      </c>
      <c r="C346" s="9">
        <v>51000</v>
      </c>
      <c r="D346" s="10">
        <v>47</v>
      </c>
      <c r="E346" s="10">
        <v>1</v>
      </c>
      <c r="F346" s="10">
        <f>IF(G346&gt;=Modelo!$B$10,1,0)</f>
        <v>1</v>
      </c>
      <c r="G346" s="11">
        <f>1/(1+EXP(-(Modelo!$B$5+Modelo!$B$6*D346+Modelo!$B$7*C346+Modelo!$B$8*IF(B346="Male",1,0))))</f>
        <v>0.52870062139433849</v>
      </c>
      <c r="H346" s="11">
        <f t="shared" si="10"/>
        <v>0.52870062139433849</v>
      </c>
      <c r="I346" s="10" t="str">
        <f t="shared" si="11"/>
        <v>Sí</v>
      </c>
      <c r="J346" s="10" t="s">
        <v>13</v>
      </c>
    </row>
    <row r="347" spans="1:10" x14ac:dyDescent="0.25">
      <c r="A347" s="2">
        <v>15729908</v>
      </c>
      <c r="B347" s="3" t="s">
        <v>11</v>
      </c>
      <c r="C347" s="4">
        <v>105000</v>
      </c>
      <c r="D347" s="5">
        <v>47</v>
      </c>
      <c r="E347" s="5">
        <v>1</v>
      </c>
      <c r="F347" s="5">
        <f>IF(G347&gt;=Modelo!$B$10,1,0)</f>
        <v>1</v>
      </c>
      <c r="G347" s="6">
        <f>1/(1+EXP(-(Modelo!$B$5+Modelo!$B$6*D347+Modelo!$B$7*C347+Modelo!$B$8*IF(B347="Male",1,0))))</f>
        <v>0.92599047615057573</v>
      </c>
      <c r="H347" s="6">
        <f t="shared" si="10"/>
        <v>0.92599047615057573</v>
      </c>
      <c r="I347" s="5" t="str">
        <f t="shared" si="11"/>
        <v>Sí</v>
      </c>
      <c r="J347" s="5" t="s">
        <v>13</v>
      </c>
    </row>
    <row r="348" spans="1:10" x14ac:dyDescent="0.25">
      <c r="A348" s="7">
        <v>15716781</v>
      </c>
      <c r="B348" s="8" t="s">
        <v>14</v>
      </c>
      <c r="C348" s="9">
        <v>63000</v>
      </c>
      <c r="D348" s="10">
        <v>41</v>
      </c>
      <c r="E348" s="10">
        <v>0</v>
      </c>
      <c r="F348" s="10">
        <f>IF(G348&gt;=Modelo!$B$10,1,0)</f>
        <v>0</v>
      </c>
      <c r="G348" s="11">
        <f>1/(1+EXP(-(Modelo!$B$5+Modelo!$B$6*D348+Modelo!$B$7*C348+Modelo!$B$8*IF(B348="Male",1,0))))</f>
        <v>0.31573359323281197</v>
      </c>
      <c r="H348" s="11">
        <f t="shared" si="10"/>
        <v>0.68426640676718797</v>
      </c>
      <c r="I348" s="10" t="str">
        <f t="shared" si="11"/>
        <v>Sí</v>
      </c>
      <c r="J348" s="10" t="s">
        <v>12</v>
      </c>
    </row>
    <row r="349" spans="1:10" x14ac:dyDescent="0.25">
      <c r="A349" s="2">
        <v>15646936</v>
      </c>
      <c r="B349" s="3" t="s">
        <v>11</v>
      </c>
      <c r="C349" s="4">
        <v>72000</v>
      </c>
      <c r="D349" s="5">
        <v>53</v>
      </c>
      <c r="E349" s="5">
        <v>1</v>
      </c>
      <c r="F349" s="5">
        <f>IF(G349&gt;=Modelo!$B$10,1,0)</f>
        <v>1</v>
      </c>
      <c r="G349" s="6">
        <f>1/(1+EXP(-(Modelo!$B$5+Modelo!$B$6*D349+Modelo!$B$7*C349+Modelo!$B$8*IF(B349="Male",1,0))))</f>
        <v>0.93019149495882192</v>
      </c>
      <c r="H349" s="6">
        <f t="shared" si="10"/>
        <v>0.93019149495882192</v>
      </c>
      <c r="I349" s="5" t="str">
        <f t="shared" si="11"/>
        <v>Sí</v>
      </c>
      <c r="J349" s="5" t="s">
        <v>12</v>
      </c>
    </row>
    <row r="350" spans="1:10" x14ac:dyDescent="0.25">
      <c r="A350" s="7">
        <v>15768151</v>
      </c>
      <c r="B350" s="8" t="s">
        <v>14</v>
      </c>
      <c r="C350" s="9">
        <v>108000</v>
      </c>
      <c r="D350" s="10">
        <v>54</v>
      </c>
      <c r="E350" s="10">
        <v>1</v>
      </c>
      <c r="F350" s="10">
        <f>IF(G350&gt;=Modelo!$B$10,1,0)</f>
        <v>1</v>
      </c>
      <c r="G350" s="11">
        <f>1/(1+EXP(-(Modelo!$B$5+Modelo!$B$6*D350+Modelo!$B$7*C350+Modelo!$B$8*IF(B350="Male",1,0))))</f>
        <v>0.98096114098651899</v>
      </c>
      <c r="H350" s="11">
        <f t="shared" si="10"/>
        <v>0.98096114098651899</v>
      </c>
      <c r="I350" s="10" t="str">
        <f t="shared" si="11"/>
        <v>Sí</v>
      </c>
      <c r="J350" s="10" t="s">
        <v>12</v>
      </c>
    </row>
    <row r="351" spans="1:10" x14ac:dyDescent="0.25">
      <c r="A351" s="2">
        <v>15579212</v>
      </c>
      <c r="B351" s="3" t="s">
        <v>11</v>
      </c>
      <c r="C351" s="4">
        <v>77000</v>
      </c>
      <c r="D351" s="5">
        <v>39</v>
      </c>
      <c r="E351" s="5">
        <v>0</v>
      </c>
      <c r="F351" s="5">
        <f>IF(G351&gt;=Modelo!$B$10,1,0)</f>
        <v>0</v>
      </c>
      <c r="G351" s="6">
        <f>1/(1+EXP(-(Modelo!$B$5+Modelo!$B$6*D351+Modelo!$B$7*C351+Modelo!$B$8*IF(B351="Male",1,0))))</f>
        <v>0.40437478456401593</v>
      </c>
      <c r="H351" s="6">
        <f t="shared" si="10"/>
        <v>0.59562521543598401</v>
      </c>
      <c r="I351" s="5" t="str">
        <f t="shared" si="11"/>
        <v>Sí</v>
      </c>
      <c r="J351" s="5" t="s">
        <v>12</v>
      </c>
    </row>
    <row r="352" spans="1:10" x14ac:dyDescent="0.25">
      <c r="A352" s="7">
        <v>15721835</v>
      </c>
      <c r="B352" s="8" t="s">
        <v>11</v>
      </c>
      <c r="C352" s="9">
        <v>61000</v>
      </c>
      <c r="D352" s="10">
        <v>38</v>
      </c>
      <c r="E352" s="10">
        <v>0</v>
      </c>
      <c r="F352" s="10">
        <f>IF(G352&gt;=Modelo!$B$10,1,0)</f>
        <v>0</v>
      </c>
      <c r="G352" s="11">
        <f>1/(1+EXP(-(Modelo!$B$5+Modelo!$B$6*D352+Modelo!$B$7*C352+Modelo!$B$8*IF(B352="Male",1,0))))</f>
        <v>0.22394391354510071</v>
      </c>
      <c r="H352" s="11">
        <f t="shared" si="10"/>
        <v>0.77605608645489932</v>
      </c>
      <c r="I352" s="10" t="str">
        <f t="shared" si="11"/>
        <v>Sí</v>
      </c>
      <c r="J352" s="10" t="s">
        <v>13</v>
      </c>
    </row>
    <row r="353" spans="1:10" x14ac:dyDescent="0.25">
      <c r="A353" s="2">
        <v>15800515</v>
      </c>
      <c r="B353" s="3" t="s">
        <v>14</v>
      </c>
      <c r="C353" s="4">
        <v>113000</v>
      </c>
      <c r="D353" s="5">
        <v>38</v>
      </c>
      <c r="E353" s="5">
        <v>1</v>
      </c>
      <c r="F353" s="5">
        <f>IF(G353&gt;=Modelo!$B$10,1,0)</f>
        <v>1</v>
      </c>
      <c r="G353" s="6">
        <f>1/(1+EXP(-(Modelo!$B$5+Modelo!$B$6*D353+Modelo!$B$7*C353+Modelo!$B$8*IF(B353="Male",1,0))))</f>
        <v>0.62522818527915847</v>
      </c>
      <c r="H353" s="6">
        <f t="shared" si="10"/>
        <v>0.62522818527915847</v>
      </c>
      <c r="I353" s="5" t="str">
        <f t="shared" si="11"/>
        <v>Sí</v>
      </c>
      <c r="J353" s="5" t="s">
        <v>12</v>
      </c>
    </row>
    <row r="354" spans="1:10" x14ac:dyDescent="0.25">
      <c r="A354" s="7">
        <v>15591279</v>
      </c>
      <c r="B354" s="8" t="s">
        <v>11</v>
      </c>
      <c r="C354" s="9">
        <v>75000</v>
      </c>
      <c r="D354" s="10">
        <v>37</v>
      </c>
      <c r="E354" s="10">
        <v>0</v>
      </c>
      <c r="F354" s="10">
        <f>IF(G354&gt;=Modelo!$B$10,1,0)</f>
        <v>0</v>
      </c>
      <c r="G354" s="11">
        <f>1/(1+EXP(-(Modelo!$B$5+Modelo!$B$6*D354+Modelo!$B$7*C354+Modelo!$B$8*IF(B354="Male",1,0))))</f>
        <v>0.28511531416197766</v>
      </c>
      <c r="H354" s="11">
        <f t="shared" si="10"/>
        <v>0.71488468583802234</v>
      </c>
      <c r="I354" s="10" t="str">
        <f t="shared" si="11"/>
        <v>Sí</v>
      </c>
      <c r="J354" s="10" t="s">
        <v>12</v>
      </c>
    </row>
    <row r="355" spans="1:10" x14ac:dyDescent="0.25">
      <c r="A355" s="2">
        <v>15587419</v>
      </c>
      <c r="B355" s="3" t="s">
        <v>14</v>
      </c>
      <c r="C355" s="4">
        <v>90000</v>
      </c>
      <c r="D355" s="5">
        <v>42</v>
      </c>
      <c r="E355" s="5">
        <v>1</v>
      </c>
      <c r="F355" s="5">
        <f>IF(G355&gt;=Modelo!$B$10,1,0)</f>
        <v>1</v>
      </c>
      <c r="G355" s="6">
        <f>1/(1+EXP(-(Modelo!$B$5+Modelo!$B$6*D355+Modelo!$B$7*C355+Modelo!$B$8*IF(B355="Male",1,0))))</f>
        <v>0.62585382231146891</v>
      </c>
      <c r="H355" s="6">
        <f t="shared" si="10"/>
        <v>0.62585382231146891</v>
      </c>
      <c r="I355" s="5" t="str">
        <f t="shared" si="11"/>
        <v>Sí</v>
      </c>
      <c r="J355" s="5" t="s">
        <v>12</v>
      </c>
    </row>
    <row r="356" spans="1:10" x14ac:dyDescent="0.25">
      <c r="A356" s="7">
        <v>15750335</v>
      </c>
      <c r="B356" s="8" t="s">
        <v>14</v>
      </c>
      <c r="C356" s="9">
        <v>57000</v>
      </c>
      <c r="D356" s="10">
        <v>37</v>
      </c>
      <c r="E356" s="10">
        <v>0</v>
      </c>
      <c r="F356" s="10">
        <f>IF(G356&gt;=Modelo!$B$10,1,0)</f>
        <v>0</v>
      </c>
      <c r="G356" s="11">
        <f>1/(1+EXP(-(Modelo!$B$5+Modelo!$B$6*D356+Modelo!$B$7*C356+Modelo!$B$8*IF(B356="Male",1,0))))</f>
        <v>0.12831103915855802</v>
      </c>
      <c r="H356" s="11">
        <f t="shared" si="10"/>
        <v>0.87168896084144198</v>
      </c>
      <c r="I356" s="10" t="str">
        <f t="shared" si="11"/>
        <v>Sí</v>
      </c>
      <c r="J356" s="10" t="s">
        <v>12</v>
      </c>
    </row>
    <row r="357" spans="1:10" x14ac:dyDescent="0.25">
      <c r="A357" s="2">
        <v>15699619</v>
      </c>
      <c r="B357" s="3" t="s">
        <v>11</v>
      </c>
      <c r="C357" s="4">
        <v>99000</v>
      </c>
      <c r="D357" s="5">
        <v>36</v>
      </c>
      <c r="E357" s="5">
        <v>1</v>
      </c>
      <c r="F357" s="5">
        <f>IF(G357&gt;=Modelo!$B$10,1,0)</f>
        <v>0</v>
      </c>
      <c r="G357" s="6">
        <f>1/(1+EXP(-(Modelo!$B$5+Modelo!$B$6*D357+Modelo!$B$7*C357+Modelo!$B$8*IF(B357="Male",1,0))))</f>
        <v>0.44952943092729974</v>
      </c>
      <c r="H357" s="6">
        <f t="shared" si="10"/>
        <v>0.55047056907270031</v>
      </c>
      <c r="I357" s="5" t="str">
        <f t="shared" si="11"/>
        <v>No</v>
      </c>
      <c r="J357" s="5" t="s">
        <v>12</v>
      </c>
    </row>
    <row r="358" spans="1:10" x14ac:dyDescent="0.25">
      <c r="A358" s="7">
        <v>15606472</v>
      </c>
      <c r="B358" s="8" t="s">
        <v>11</v>
      </c>
      <c r="C358" s="9">
        <v>34000</v>
      </c>
      <c r="D358" s="10">
        <v>60</v>
      </c>
      <c r="E358" s="10">
        <v>1</v>
      </c>
      <c r="F358" s="10">
        <f>IF(G358&gt;=Modelo!$B$10,1,0)</f>
        <v>1</v>
      </c>
      <c r="G358" s="11">
        <f>1/(1+EXP(-(Modelo!$B$5+Modelo!$B$6*D358+Modelo!$B$7*C358+Modelo!$B$8*IF(B358="Male",1,0))))</f>
        <v>0.93600080582229905</v>
      </c>
      <c r="H358" s="11">
        <f t="shared" si="10"/>
        <v>0.93600080582229905</v>
      </c>
      <c r="I358" s="10" t="str">
        <f t="shared" si="11"/>
        <v>Sí</v>
      </c>
      <c r="J358" s="10" t="s">
        <v>12</v>
      </c>
    </row>
    <row r="359" spans="1:10" x14ac:dyDescent="0.25">
      <c r="A359" s="2">
        <v>15778368</v>
      </c>
      <c r="B359" s="3" t="s">
        <v>11</v>
      </c>
      <c r="C359" s="4">
        <v>70000</v>
      </c>
      <c r="D359" s="5">
        <v>54</v>
      </c>
      <c r="E359" s="5">
        <v>1</v>
      </c>
      <c r="F359" s="5">
        <f>IF(G359&gt;=Modelo!$B$10,1,0)</f>
        <v>1</v>
      </c>
      <c r="G359" s="6">
        <f>1/(1+EXP(-(Modelo!$B$5+Modelo!$B$6*D359+Modelo!$B$7*C359+Modelo!$B$8*IF(B359="Male",1,0))))</f>
        <v>0.93921477975144863</v>
      </c>
      <c r="H359" s="6">
        <f t="shared" si="10"/>
        <v>0.93921477975144863</v>
      </c>
      <c r="I359" s="5" t="str">
        <f t="shared" si="11"/>
        <v>Sí</v>
      </c>
      <c r="J359" s="5" t="s">
        <v>13</v>
      </c>
    </row>
    <row r="360" spans="1:10" x14ac:dyDescent="0.25">
      <c r="A360" s="7">
        <v>15671387</v>
      </c>
      <c r="B360" s="8" t="s">
        <v>14</v>
      </c>
      <c r="C360" s="9">
        <v>72000</v>
      </c>
      <c r="D360" s="10">
        <v>41</v>
      </c>
      <c r="E360" s="10">
        <v>0</v>
      </c>
      <c r="F360" s="10">
        <f>IF(G360&gt;=Modelo!$B$10,1,0)</f>
        <v>0</v>
      </c>
      <c r="G360" s="11">
        <f>1/(1+EXP(-(Modelo!$B$5+Modelo!$B$6*D360+Modelo!$B$7*C360+Modelo!$B$8*IF(B360="Male",1,0))))</f>
        <v>0.39658850510498728</v>
      </c>
      <c r="H360" s="11">
        <f t="shared" si="10"/>
        <v>0.60341149489501267</v>
      </c>
      <c r="I360" s="10" t="str">
        <f t="shared" si="11"/>
        <v>Sí</v>
      </c>
      <c r="J360" s="10" t="s">
        <v>13</v>
      </c>
    </row>
    <row r="361" spans="1:10" x14ac:dyDescent="0.25">
      <c r="A361" s="2">
        <v>15573926</v>
      </c>
      <c r="B361" s="3" t="s">
        <v>11</v>
      </c>
      <c r="C361" s="4">
        <v>71000</v>
      </c>
      <c r="D361" s="5">
        <v>40</v>
      </c>
      <c r="E361" s="5">
        <v>1</v>
      </c>
      <c r="F361" s="5">
        <f>IF(G361&gt;=Modelo!$B$10,1,0)</f>
        <v>0</v>
      </c>
      <c r="G361" s="6">
        <f>1/(1+EXP(-(Modelo!$B$5+Modelo!$B$6*D361+Modelo!$B$7*C361+Modelo!$B$8*IF(B361="Male",1,0))))</f>
        <v>0.40217082531878251</v>
      </c>
      <c r="H361" s="6">
        <f t="shared" si="10"/>
        <v>0.59782917468121743</v>
      </c>
      <c r="I361" s="5" t="str">
        <f t="shared" si="11"/>
        <v>No</v>
      </c>
      <c r="J361" s="5" t="s">
        <v>13</v>
      </c>
    </row>
    <row r="362" spans="1:10" x14ac:dyDescent="0.25">
      <c r="A362" s="7">
        <v>15709183</v>
      </c>
      <c r="B362" s="8" t="s">
        <v>11</v>
      </c>
      <c r="C362" s="9">
        <v>54000</v>
      </c>
      <c r="D362" s="10">
        <v>42</v>
      </c>
      <c r="E362" s="10">
        <v>0</v>
      </c>
      <c r="F362" s="10">
        <f>IF(G362&gt;=Modelo!$B$10,1,0)</f>
        <v>0</v>
      </c>
      <c r="G362" s="11">
        <f>1/(1+EXP(-(Modelo!$B$5+Modelo!$B$6*D362+Modelo!$B$7*C362+Modelo!$B$8*IF(B362="Male",1,0))))</f>
        <v>0.35176904266514025</v>
      </c>
      <c r="H362" s="11">
        <f t="shared" si="10"/>
        <v>0.64823095733485969</v>
      </c>
      <c r="I362" s="10" t="str">
        <f t="shared" si="11"/>
        <v>Sí</v>
      </c>
      <c r="J362" s="10" t="s">
        <v>12</v>
      </c>
    </row>
    <row r="363" spans="1:10" x14ac:dyDescent="0.25">
      <c r="A363" s="2">
        <v>15577514</v>
      </c>
      <c r="B363" s="3" t="s">
        <v>11</v>
      </c>
      <c r="C363" s="4">
        <v>129000</v>
      </c>
      <c r="D363" s="5">
        <v>43</v>
      </c>
      <c r="E363" s="5">
        <v>1</v>
      </c>
      <c r="F363" s="5">
        <f>IF(G363&gt;=Modelo!$B$10,1,0)</f>
        <v>1</v>
      </c>
      <c r="G363" s="6">
        <f>1/(1+EXP(-(Modelo!$B$5+Modelo!$B$6*D363+Modelo!$B$7*C363+Modelo!$B$8*IF(B363="Male",1,0))))</f>
        <v>0.92846226125596643</v>
      </c>
      <c r="H363" s="6">
        <f t="shared" si="10"/>
        <v>0.92846226125596643</v>
      </c>
      <c r="I363" s="5" t="str">
        <f t="shared" si="11"/>
        <v>Sí</v>
      </c>
      <c r="J363" s="5" t="s">
        <v>12</v>
      </c>
    </row>
    <row r="364" spans="1:10" x14ac:dyDescent="0.25">
      <c r="A364" s="7">
        <v>15778830</v>
      </c>
      <c r="B364" s="8" t="s">
        <v>14</v>
      </c>
      <c r="C364" s="9">
        <v>34000</v>
      </c>
      <c r="D364" s="10">
        <v>53</v>
      </c>
      <c r="E364" s="10">
        <v>1</v>
      </c>
      <c r="F364" s="10">
        <f>IF(G364&gt;=Modelo!$B$10,1,0)</f>
        <v>1</v>
      </c>
      <c r="G364" s="11">
        <f>1/(1+EXP(-(Modelo!$B$5+Modelo!$B$6*D364+Modelo!$B$7*C364+Modelo!$B$8*IF(B364="Male",1,0))))</f>
        <v>0.69142276707328265</v>
      </c>
      <c r="H364" s="11">
        <f t="shared" si="10"/>
        <v>0.69142276707328265</v>
      </c>
      <c r="I364" s="10" t="str">
        <f t="shared" si="11"/>
        <v>Sí</v>
      </c>
      <c r="J364" s="10" t="s">
        <v>12</v>
      </c>
    </row>
    <row r="365" spans="1:10" x14ac:dyDescent="0.25">
      <c r="A365" s="2">
        <v>15768072</v>
      </c>
      <c r="B365" s="3" t="s">
        <v>14</v>
      </c>
      <c r="C365" s="4">
        <v>50000</v>
      </c>
      <c r="D365" s="5">
        <v>47</v>
      </c>
      <c r="E365" s="5">
        <v>1</v>
      </c>
      <c r="F365" s="5">
        <f>IF(G365&gt;=Modelo!$B$10,1,0)</f>
        <v>1</v>
      </c>
      <c r="G365" s="6">
        <f>1/(1+EXP(-(Modelo!$B$5+Modelo!$B$6*D365+Modelo!$B$7*C365+Modelo!$B$8*IF(B365="Male",1,0))))</f>
        <v>0.5188968569097413</v>
      </c>
      <c r="H365" s="6">
        <f t="shared" si="10"/>
        <v>0.5188968569097413</v>
      </c>
      <c r="I365" s="5" t="str">
        <f t="shared" si="11"/>
        <v>Sí</v>
      </c>
      <c r="J365" s="5" t="s">
        <v>12</v>
      </c>
    </row>
    <row r="366" spans="1:10" x14ac:dyDescent="0.25">
      <c r="A366" s="7">
        <v>15768293</v>
      </c>
      <c r="B366" s="8" t="s">
        <v>14</v>
      </c>
      <c r="C366" s="9">
        <v>79000</v>
      </c>
      <c r="D366" s="10">
        <v>42</v>
      </c>
      <c r="E366" s="10">
        <v>0</v>
      </c>
      <c r="F366" s="10">
        <f>IF(G366&gt;=Modelo!$B$10,1,0)</f>
        <v>1</v>
      </c>
      <c r="G366" s="11">
        <f>1/(1+EXP(-(Modelo!$B$5+Modelo!$B$6*D366+Modelo!$B$7*C366+Modelo!$B$8*IF(B366="Male",1,0))))</f>
        <v>0.52051625642847976</v>
      </c>
      <c r="H366" s="11">
        <f t="shared" si="10"/>
        <v>0.52051625642847976</v>
      </c>
      <c r="I366" s="10" t="str">
        <f t="shared" si="11"/>
        <v>No</v>
      </c>
      <c r="J366" s="10" t="s">
        <v>12</v>
      </c>
    </row>
    <row r="367" spans="1:10" x14ac:dyDescent="0.25">
      <c r="A367" s="2">
        <v>15654456</v>
      </c>
      <c r="B367" s="3" t="s">
        <v>11</v>
      </c>
      <c r="C367" s="4">
        <v>104000</v>
      </c>
      <c r="D367" s="5">
        <v>42</v>
      </c>
      <c r="E367" s="5">
        <v>1</v>
      </c>
      <c r="F367" s="5">
        <f>IF(G367&gt;=Modelo!$B$10,1,0)</f>
        <v>1</v>
      </c>
      <c r="G367" s="6">
        <f>1/(1+EXP(-(Modelo!$B$5+Modelo!$B$6*D367+Modelo!$B$7*C367+Modelo!$B$8*IF(B367="Male",1,0))))</f>
        <v>0.79478225081301102</v>
      </c>
      <c r="H367" s="6">
        <f t="shared" si="10"/>
        <v>0.79478225081301102</v>
      </c>
      <c r="I367" s="5" t="str">
        <f t="shared" si="11"/>
        <v>Sí</v>
      </c>
      <c r="J367" s="5" t="s">
        <v>12</v>
      </c>
    </row>
    <row r="368" spans="1:10" x14ac:dyDescent="0.25">
      <c r="A368" s="7">
        <v>15807525</v>
      </c>
      <c r="B368" s="8" t="s">
        <v>14</v>
      </c>
      <c r="C368" s="9">
        <v>29000</v>
      </c>
      <c r="D368" s="10">
        <v>59</v>
      </c>
      <c r="E368" s="10">
        <v>1</v>
      </c>
      <c r="F368" s="10">
        <f>IF(G368&gt;=Modelo!$B$10,1,0)</f>
        <v>1</v>
      </c>
      <c r="G368" s="11">
        <f>1/(1+EXP(-(Modelo!$B$5+Modelo!$B$6*D368+Modelo!$B$7*C368+Modelo!$B$8*IF(B368="Male",1,0))))</f>
        <v>0.87764271763146751</v>
      </c>
      <c r="H368" s="11">
        <f t="shared" si="10"/>
        <v>0.87764271763146751</v>
      </c>
      <c r="I368" s="10" t="str">
        <f t="shared" si="11"/>
        <v>Sí</v>
      </c>
      <c r="J368" s="10" t="s">
        <v>12</v>
      </c>
    </row>
    <row r="369" spans="1:10" x14ac:dyDescent="0.25">
      <c r="A369" s="2">
        <v>15574372</v>
      </c>
      <c r="B369" s="3" t="s">
        <v>14</v>
      </c>
      <c r="C369" s="4">
        <v>47000</v>
      </c>
      <c r="D369" s="5">
        <v>58</v>
      </c>
      <c r="E369" s="5">
        <v>1</v>
      </c>
      <c r="F369" s="5">
        <f>IF(G369&gt;=Modelo!$B$10,1,0)</f>
        <v>1</v>
      </c>
      <c r="G369" s="6">
        <f>1/(1+EXP(-(Modelo!$B$5+Modelo!$B$6*D369+Modelo!$B$7*C369+Modelo!$B$8*IF(B369="Male",1,0))))</f>
        <v>0.92064312538347604</v>
      </c>
      <c r="H369" s="6">
        <f t="shared" si="10"/>
        <v>0.92064312538347604</v>
      </c>
      <c r="I369" s="5" t="str">
        <f t="shared" si="11"/>
        <v>Sí</v>
      </c>
      <c r="J369" s="5" t="s">
        <v>13</v>
      </c>
    </row>
    <row r="370" spans="1:10" x14ac:dyDescent="0.25">
      <c r="A370" s="7">
        <v>15671249</v>
      </c>
      <c r="B370" s="8" t="s">
        <v>11</v>
      </c>
      <c r="C370" s="9">
        <v>88000</v>
      </c>
      <c r="D370" s="10">
        <v>46</v>
      </c>
      <c r="E370" s="10">
        <v>1</v>
      </c>
      <c r="F370" s="10">
        <f>IF(G370&gt;=Modelo!$B$10,1,0)</f>
        <v>1</v>
      </c>
      <c r="G370" s="11">
        <f>1/(1+EXP(-(Modelo!$B$5+Modelo!$B$6*D370+Modelo!$B$7*C370+Modelo!$B$8*IF(B370="Male",1,0))))</f>
        <v>0.83641677379587964</v>
      </c>
      <c r="H370" s="11">
        <f t="shared" si="10"/>
        <v>0.83641677379587964</v>
      </c>
      <c r="I370" s="10" t="str">
        <f t="shared" si="11"/>
        <v>Sí</v>
      </c>
      <c r="J370" s="10" t="s">
        <v>12</v>
      </c>
    </row>
    <row r="371" spans="1:10" x14ac:dyDescent="0.25">
      <c r="A371" s="2">
        <v>15779744</v>
      </c>
      <c r="B371" s="3" t="s">
        <v>11</v>
      </c>
      <c r="C371" s="4">
        <v>71000</v>
      </c>
      <c r="D371" s="5">
        <v>38</v>
      </c>
      <c r="E371" s="5">
        <v>0</v>
      </c>
      <c r="F371" s="5">
        <f>IF(G371&gt;=Modelo!$B$10,1,0)</f>
        <v>0</v>
      </c>
      <c r="G371" s="6">
        <f>1/(1+EXP(-(Modelo!$B$5+Modelo!$B$6*D371+Modelo!$B$7*C371+Modelo!$B$8*IF(B371="Male",1,0))))</f>
        <v>0.29947997430168216</v>
      </c>
      <c r="H371" s="6">
        <f t="shared" si="10"/>
        <v>0.70052002569831784</v>
      </c>
      <c r="I371" s="5" t="str">
        <f t="shared" si="11"/>
        <v>Sí</v>
      </c>
      <c r="J371" s="5" t="s">
        <v>12</v>
      </c>
    </row>
    <row r="372" spans="1:10" x14ac:dyDescent="0.25">
      <c r="A372" s="7">
        <v>15624755</v>
      </c>
      <c r="B372" s="8" t="s">
        <v>14</v>
      </c>
      <c r="C372" s="9">
        <v>26000</v>
      </c>
      <c r="D372" s="10">
        <v>54</v>
      </c>
      <c r="E372" s="10">
        <v>1</v>
      </c>
      <c r="F372" s="10">
        <f>IF(G372&gt;=Modelo!$B$10,1,0)</f>
        <v>1</v>
      </c>
      <c r="G372" s="11">
        <f>1/(1+EXP(-(Modelo!$B$5+Modelo!$B$6*D372+Modelo!$B$7*C372+Modelo!$B$8*IF(B372="Male",1,0))))</f>
        <v>0.67238895987009739</v>
      </c>
      <c r="H372" s="11">
        <f t="shared" si="10"/>
        <v>0.67238895987009739</v>
      </c>
      <c r="I372" s="10" t="str">
        <f t="shared" si="11"/>
        <v>Sí</v>
      </c>
      <c r="J372" s="10" t="s">
        <v>12</v>
      </c>
    </row>
    <row r="373" spans="1:10" x14ac:dyDescent="0.25">
      <c r="A373" s="2">
        <v>15611430</v>
      </c>
      <c r="B373" s="3" t="s">
        <v>14</v>
      </c>
      <c r="C373" s="4">
        <v>46000</v>
      </c>
      <c r="D373" s="5">
        <v>60</v>
      </c>
      <c r="E373" s="5">
        <v>1</v>
      </c>
      <c r="F373" s="5">
        <f>IF(G373&gt;=Modelo!$B$10,1,0)</f>
        <v>1</v>
      </c>
      <c r="G373" s="6">
        <f>1/(1+EXP(-(Modelo!$B$5+Modelo!$B$6*D373+Modelo!$B$7*C373+Modelo!$B$8*IF(B373="Male",1,0))))</f>
        <v>0.94609701734641927</v>
      </c>
      <c r="H373" s="6">
        <f t="shared" si="10"/>
        <v>0.94609701734641927</v>
      </c>
      <c r="I373" s="5" t="str">
        <f t="shared" si="11"/>
        <v>Sí</v>
      </c>
      <c r="J373" s="5" t="s">
        <v>12</v>
      </c>
    </row>
    <row r="374" spans="1:10" x14ac:dyDescent="0.25">
      <c r="A374" s="7">
        <v>15774744</v>
      </c>
      <c r="B374" s="8" t="s">
        <v>11</v>
      </c>
      <c r="C374" s="9">
        <v>83000</v>
      </c>
      <c r="D374" s="10">
        <v>60</v>
      </c>
      <c r="E374" s="10">
        <v>1</v>
      </c>
      <c r="F374" s="10">
        <f>IF(G374&gt;=Modelo!$B$10,1,0)</f>
        <v>1</v>
      </c>
      <c r="G374" s="11">
        <f>1/(1+EXP(-(Modelo!$B$5+Modelo!$B$6*D374+Modelo!$B$7*C374+Modelo!$B$8*IF(B374="Male",1,0))))</f>
        <v>0.99013364318215447</v>
      </c>
      <c r="H374" s="11">
        <f t="shared" si="10"/>
        <v>0.99013364318215447</v>
      </c>
      <c r="I374" s="10" t="str">
        <f t="shared" si="11"/>
        <v>Sí</v>
      </c>
      <c r="J374" s="10" t="s">
        <v>12</v>
      </c>
    </row>
    <row r="375" spans="1:10" x14ac:dyDescent="0.25">
      <c r="A375" s="2">
        <v>15629885</v>
      </c>
      <c r="B375" s="3" t="s">
        <v>14</v>
      </c>
      <c r="C375" s="4">
        <v>73000</v>
      </c>
      <c r="D375" s="5">
        <v>39</v>
      </c>
      <c r="E375" s="5">
        <v>0</v>
      </c>
      <c r="F375" s="5">
        <f>IF(G375&gt;=Modelo!$B$10,1,0)</f>
        <v>0</v>
      </c>
      <c r="G375" s="6">
        <f>1/(1+EXP(-(Modelo!$B$5+Modelo!$B$6*D375+Modelo!$B$7*C375+Modelo!$B$8*IF(B375="Male",1,0))))</f>
        <v>0.30285441412934277</v>
      </c>
      <c r="H375" s="6">
        <f t="shared" si="10"/>
        <v>0.69714558587065723</v>
      </c>
      <c r="I375" s="5" t="str">
        <f t="shared" si="11"/>
        <v>Sí</v>
      </c>
      <c r="J375" s="5" t="s">
        <v>13</v>
      </c>
    </row>
    <row r="376" spans="1:10" x14ac:dyDescent="0.25">
      <c r="A376" s="7">
        <v>15708791</v>
      </c>
      <c r="B376" s="8" t="s">
        <v>11</v>
      </c>
      <c r="C376" s="9">
        <v>130000</v>
      </c>
      <c r="D376" s="10">
        <v>59</v>
      </c>
      <c r="E376" s="10">
        <v>1</v>
      </c>
      <c r="F376" s="10">
        <f>IF(G376&gt;=Modelo!$B$10,1,0)</f>
        <v>1</v>
      </c>
      <c r="G376" s="11">
        <f>1/(1+EXP(-(Modelo!$B$5+Modelo!$B$6*D376+Modelo!$B$7*C376+Modelo!$B$8*IF(B376="Male",1,0))))</f>
        <v>0.99803321882738627</v>
      </c>
      <c r="H376" s="11">
        <f t="shared" si="10"/>
        <v>0.99803321882738627</v>
      </c>
      <c r="I376" s="10" t="str">
        <f t="shared" si="11"/>
        <v>Sí</v>
      </c>
      <c r="J376" s="10" t="s">
        <v>12</v>
      </c>
    </row>
    <row r="377" spans="1:10" x14ac:dyDescent="0.25">
      <c r="A377" s="2">
        <v>15793890</v>
      </c>
      <c r="B377" s="3" t="s">
        <v>14</v>
      </c>
      <c r="C377" s="4">
        <v>80000</v>
      </c>
      <c r="D377" s="5">
        <v>37</v>
      </c>
      <c r="E377" s="5">
        <v>0</v>
      </c>
      <c r="F377" s="5">
        <f>IF(G377&gt;=Modelo!$B$10,1,0)</f>
        <v>0</v>
      </c>
      <c r="G377" s="6">
        <f>1/(1+EXP(-(Modelo!$B$5+Modelo!$B$6*D377+Modelo!$B$7*C377+Modelo!$B$8*IF(B377="Male",1,0))))</f>
        <v>0.26659807147648446</v>
      </c>
      <c r="H377" s="6">
        <f t="shared" si="10"/>
        <v>0.7334019285235156</v>
      </c>
      <c r="I377" s="5" t="str">
        <f t="shared" si="11"/>
        <v>Sí</v>
      </c>
      <c r="J377" s="5" t="s">
        <v>12</v>
      </c>
    </row>
    <row r="378" spans="1:10" x14ac:dyDescent="0.25">
      <c r="A378" s="7">
        <v>15646091</v>
      </c>
      <c r="B378" s="8" t="s">
        <v>14</v>
      </c>
      <c r="C378" s="9">
        <v>32000</v>
      </c>
      <c r="D378" s="10">
        <v>46</v>
      </c>
      <c r="E378" s="10">
        <v>1</v>
      </c>
      <c r="F378" s="10">
        <f>IF(G378&gt;=Modelo!$B$10,1,0)</f>
        <v>0</v>
      </c>
      <c r="G378" s="11">
        <f>1/(1+EXP(-(Modelo!$B$5+Modelo!$B$6*D378+Modelo!$B$7*C378+Modelo!$B$8*IF(B378="Male",1,0))))</f>
        <v>0.29764301671925292</v>
      </c>
      <c r="H378" s="11">
        <f t="shared" si="10"/>
        <v>0.70235698328074703</v>
      </c>
      <c r="I378" s="10" t="str">
        <f t="shared" si="11"/>
        <v>No</v>
      </c>
      <c r="J378" s="10" t="s">
        <v>12</v>
      </c>
    </row>
    <row r="379" spans="1:10" x14ac:dyDescent="0.25">
      <c r="A379" s="2">
        <v>15596984</v>
      </c>
      <c r="B379" s="3" t="s">
        <v>14</v>
      </c>
      <c r="C379" s="4">
        <v>74000</v>
      </c>
      <c r="D379" s="5">
        <v>46</v>
      </c>
      <c r="E379" s="5">
        <v>0</v>
      </c>
      <c r="F379" s="5">
        <f>IF(G379&gt;=Modelo!$B$10,1,0)</f>
        <v>1</v>
      </c>
      <c r="G379" s="6">
        <f>1/(1+EXP(-(Modelo!$B$5+Modelo!$B$6*D379+Modelo!$B$7*C379+Modelo!$B$8*IF(B379="Male",1,0))))</f>
        <v>0.68832042849694919</v>
      </c>
      <c r="H379" s="6">
        <f t="shared" si="10"/>
        <v>0.68832042849694919</v>
      </c>
      <c r="I379" s="5" t="str">
        <f t="shared" si="11"/>
        <v>No</v>
      </c>
      <c r="J379" s="5" t="s">
        <v>12</v>
      </c>
    </row>
    <row r="380" spans="1:10" x14ac:dyDescent="0.25">
      <c r="A380" s="7">
        <v>15800215</v>
      </c>
      <c r="B380" s="8" t="s">
        <v>14</v>
      </c>
      <c r="C380" s="9">
        <v>53000</v>
      </c>
      <c r="D380" s="10">
        <v>42</v>
      </c>
      <c r="E380" s="10">
        <v>0</v>
      </c>
      <c r="F380" s="10">
        <f>IF(G380&gt;=Modelo!$B$10,1,0)</f>
        <v>0</v>
      </c>
      <c r="G380" s="11">
        <f>1/(1+EXP(-(Modelo!$B$5+Modelo!$B$6*D380+Modelo!$B$7*C380+Modelo!$B$8*IF(B380="Male",1,0))))</f>
        <v>0.28093495752451952</v>
      </c>
      <c r="H380" s="11">
        <f t="shared" si="10"/>
        <v>0.71906504247548053</v>
      </c>
      <c r="I380" s="10" t="str">
        <f t="shared" si="11"/>
        <v>Sí</v>
      </c>
      <c r="J380" s="10" t="s">
        <v>12</v>
      </c>
    </row>
    <row r="381" spans="1:10" x14ac:dyDescent="0.25">
      <c r="A381" s="2">
        <v>15577806</v>
      </c>
      <c r="B381" s="3" t="s">
        <v>11</v>
      </c>
      <c r="C381" s="4">
        <v>87000</v>
      </c>
      <c r="D381" s="5">
        <v>41</v>
      </c>
      <c r="E381" s="5">
        <v>1</v>
      </c>
      <c r="F381" s="5">
        <f>IF(G381&gt;=Modelo!$B$10,1,0)</f>
        <v>1</v>
      </c>
      <c r="G381" s="6">
        <f>1/(1+EXP(-(Modelo!$B$5+Modelo!$B$6*D381+Modelo!$B$7*C381+Modelo!$B$8*IF(B381="Male",1,0))))</f>
        <v>0.61280813323486338</v>
      </c>
      <c r="H381" s="6">
        <f t="shared" si="10"/>
        <v>0.61280813323486338</v>
      </c>
      <c r="I381" s="5" t="str">
        <f t="shared" si="11"/>
        <v>Sí</v>
      </c>
      <c r="J381" s="5" t="s">
        <v>13</v>
      </c>
    </row>
    <row r="382" spans="1:10" x14ac:dyDescent="0.25">
      <c r="A382" s="7">
        <v>15749381</v>
      </c>
      <c r="B382" s="8" t="s">
        <v>14</v>
      </c>
      <c r="C382" s="9">
        <v>23000</v>
      </c>
      <c r="D382" s="10">
        <v>58</v>
      </c>
      <c r="E382" s="10">
        <v>1</v>
      </c>
      <c r="F382" s="10">
        <f>IF(G382&gt;=Modelo!$B$10,1,0)</f>
        <v>1</v>
      </c>
      <c r="G382" s="11">
        <f>1/(1+EXP(-(Modelo!$B$5+Modelo!$B$6*D382+Modelo!$B$7*C382+Modelo!$B$8*IF(B382="Male",1,0))))</f>
        <v>0.81873321304534363</v>
      </c>
      <c r="H382" s="11">
        <f t="shared" si="10"/>
        <v>0.81873321304534363</v>
      </c>
      <c r="I382" s="10" t="str">
        <f t="shared" si="11"/>
        <v>Sí</v>
      </c>
      <c r="J382" s="10" t="s">
        <v>12</v>
      </c>
    </row>
    <row r="383" spans="1:10" x14ac:dyDescent="0.25">
      <c r="A383" s="2">
        <v>15683758</v>
      </c>
      <c r="B383" s="3" t="s">
        <v>11</v>
      </c>
      <c r="C383" s="4">
        <v>64000</v>
      </c>
      <c r="D383" s="5">
        <v>42</v>
      </c>
      <c r="E383" s="5">
        <v>0</v>
      </c>
      <c r="F383" s="5">
        <f>IF(G383&gt;=Modelo!$B$10,1,0)</f>
        <v>0</v>
      </c>
      <c r="G383" s="6">
        <f>1/(1+EXP(-(Modelo!$B$5+Modelo!$B$6*D383+Modelo!$B$7*C383+Modelo!$B$8*IF(B383="Male",1,0))))</f>
        <v>0.44566084694456021</v>
      </c>
      <c r="H383" s="6">
        <f t="shared" si="10"/>
        <v>0.55433915305543979</v>
      </c>
      <c r="I383" s="5" t="str">
        <f t="shared" si="11"/>
        <v>Sí</v>
      </c>
      <c r="J383" s="5" t="s">
        <v>13</v>
      </c>
    </row>
    <row r="384" spans="1:10" x14ac:dyDescent="0.25">
      <c r="A384" s="7">
        <v>15670615</v>
      </c>
      <c r="B384" s="8" t="s">
        <v>11</v>
      </c>
      <c r="C384" s="9">
        <v>33000</v>
      </c>
      <c r="D384" s="10">
        <v>48</v>
      </c>
      <c r="E384" s="10">
        <v>1</v>
      </c>
      <c r="F384" s="10">
        <f>IF(G384&gt;=Modelo!$B$10,1,0)</f>
        <v>0</v>
      </c>
      <c r="G384" s="11">
        <f>1/(1+EXP(-(Modelo!$B$5+Modelo!$B$6*D384+Modelo!$B$7*C384+Modelo!$B$8*IF(B384="Male",1,0))))</f>
        <v>0.48084856169995566</v>
      </c>
      <c r="H384" s="11">
        <f t="shared" si="10"/>
        <v>0.5191514383000444</v>
      </c>
      <c r="I384" s="10" t="str">
        <f t="shared" si="11"/>
        <v>No</v>
      </c>
      <c r="J384" s="10" t="s">
        <v>13</v>
      </c>
    </row>
    <row r="385" spans="1:10" x14ac:dyDescent="0.25">
      <c r="A385" s="2">
        <v>15715622</v>
      </c>
      <c r="B385" s="3" t="s">
        <v>14</v>
      </c>
      <c r="C385" s="4">
        <v>139000</v>
      </c>
      <c r="D385" s="5">
        <v>44</v>
      </c>
      <c r="E385" s="5">
        <v>1</v>
      </c>
      <c r="F385" s="5">
        <f>IF(G385&gt;=Modelo!$B$10,1,0)</f>
        <v>1</v>
      </c>
      <c r="G385" s="6">
        <f>1/(1+EXP(-(Modelo!$B$5+Modelo!$B$6*D385+Modelo!$B$7*C385+Modelo!$B$8*IF(B385="Male",1,0))))</f>
        <v>0.94753815006638142</v>
      </c>
      <c r="H385" s="6">
        <f t="shared" si="10"/>
        <v>0.94753815006638142</v>
      </c>
      <c r="I385" s="5" t="str">
        <f t="shared" si="11"/>
        <v>Sí</v>
      </c>
      <c r="J385" s="5" t="s">
        <v>13</v>
      </c>
    </row>
    <row r="386" spans="1:10" x14ac:dyDescent="0.25">
      <c r="A386" s="7">
        <v>15707634</v>
      </c>
      <c r="B386" s="8" t="s">
        <v>11</v>
      </c>
      <c r="C386" s="9">
        <v>28000</v>
      </c>
      <c r="D386" s="10">
        <v>49</v>
      </c>
      <c r="E386" s="10">
        <v>1</v>
      </c>
      <c r="F386" s="10">
        <f>IF(G386&gt;=Modelo!$B$10,1,0)</f>
        <v>0</v>
      </c>
      <c r="G386" s="11">
        <f>1/(1+EXP(-(Modelo!$B$5+Modelo!$B$6*D386+Modelo!$B$7*C386+Modelo!$B$8*IF(B386="Male",1,0))))</f>
        <v>0.48837797251297943</v>
      </c>
      <c r="H386" s="11">
        <f t="shared" si="10"/>
        <v>0.51162202748702057</v>
      </c>
      <c r="I386" s="10" t="str">
        <f t="shared" si="11"/>
        <v>No</v>
      </c>
      <c r="J386" s="10" t="s">
        <v>12</v>
      </c>
    </row>
    <row r="387" spans="1:10" x14ac:dyDescent="0.25">
      <c r="A387" s="2">
        <v>15806901</v>
      </c>
      <c r="B387" s="3" t="s">
        <v>14</v>
      </c>
      <c r="C387" s="4">
        <v>33000</v>
      </c>
      <c r="D387" s="5">
        <v>57</v>
      </c>
      <c r="E387" s="5">
        <v>1</v>
      </c>
      <c r="F387" s="5">
        <f>IF(G387&gt;=Modelo!$B$10,1,0)</f>
        <v>1</v>
      </c>
      <c r="G387" s="6">
        <f>1/(1+EXP(-(Modelo!$B$5+Modelo!$B$6*D387+Modelo!$B$7*C387+Modelo!$B$8*IF(B387="Male",1,0))))</f>
        <v>0.84213079821509107</v>
      </c>
      <c r="H387" s="6">
        <f t="shared" ref="H387:H450" si="12">MAX(G387,1-G387)</f>
        <v>0.84213079821509107</v>
      </c>
      <c r="I387" s="5" t="str">
        <f t="shared" ref="I387:I402" si="13">IF(F387=E387,"Sí","No")</f>
        <v>Sí</v>
      </c>
      <c r="J387" s="5" t="s">
        <v>12</v>
      </c>
    </row>
    <row r="388" spans="1:10" x14ac:dyDescent="0.25">
      <c r="A388" s="7">
        <v>15775335</v>
      </c>
      <c r="B388" s="8" t="s">
        <v>11</v>
      </c>
      <c r="C388" s="9">
        <v>60000</v>
      </c>
      <c r="D388" s="10">
        <v>56</v>
      </c>
      <c r="E388" s="10">
        <v>1</v>
      </c>
      <c r="F388" s="10">
        <f>IF(G388&gt;=Modelo!$B$10,1,0)</f>
        <v>1</v>
      </c>
      <c r="G388" s="11">
        <f>1/(1+EXP(-(Modelo!$B$5+Modelo!$B$6*D388+Modelo!$B$7*C388+Modelo!$B$8*IF(B388="Male",1,0))))</f>
        <v>0.94256716723963485</v>
      </c>
      <c r="H388" s="11">
        <f t="shared" si="12"/>
        <v>0.94256716723963485</v>
      </c>
      <c r="I388" s="10" t="str">
        <f t="shared" si="13"/>
        <v>Sí</v>
      </c>
      <c r="J388" s="10" t="s">
        <v>12</v>
      </c>
    </row>
    <row r="389" spans="1:10" x14ac:dyDescent="0.25">
      <c r="A389" s="2">
        <v>15724150</v>
      </c>
      <c r="B389" s="3" t="s">
        <v>14</v>
      </c>
      <c r="C389" s="4">
        <v>39000</v>
      </c>
      <c r="D389" s="5">
        <v>49</v>
      </c>
      <c r="E389" s="5">
        <v>1</v>
      </c>
      <c r="F389" s="5">
        <f>IF(G389&gt;=Modelo!$B$10,1,0)</f>
        <v>1</v>
      </c>
      <c r="G389" s="6">
        <f>1/(1+EXP(-(Modelo!$B$5+Modelo!$B$6*D389+Modelo!$B$7*C389+Modelo!$B$8*IF(B389="Male",1,0))))</f>
        <v>0.52413413101518369</v>
      </c>
      <c r="H389" s="6">
        <f t="shared" si="12"/>
        <v>0.52413413101518369</v>
      </c>
      <c r="I389" s="5" t="str">
        <f t="shared" si="13"/>
        <v>Sí</v>
      </c>
      <c r="J389" s="5" t="s">
        <v>12</v>
      </c>
    </row>
    <row r="390" spans="1:10" x14ac:dyDescent="0.25">
      <c r="A390" s="7">
        <v>15627220</v>
      </c>
      <c r="B390" s="8" t="s">
        <v>11</v>
      </c>
      <c r="C390" s="9">
        <v>71000</v>
      </c>
      <c r="D390" s="10">
        <v>39</v>
      </c>
      <c r="E390" s="10">
        <v>0</v>
      </c>
      <c r="F390" s="10">
        <f>IF(G390&gt;=Modelo!$B$10,1,0)</f>
        <v>0</v>
      </c>
      <c r="G390" s="11">
        <f>1/(1+EXP(-(Modelo!$B$5+Modelo!$B$6*D390+Modelo!$B$7*C390+Modelo!$B$8*IF(B390="Male",1,0))))</f>
        <v>0.34907633402996396</v>
      </c>
      <c r="H390" s="11">
        <f t="shared" si="12"/>
        <v>0.65092366597003604</v>
      </c>
      <c r="I390" s="10" t="str">
        <f t="shared" si="13"/>
        <v>Sí</v>
      </c>
      <c r="J390" s="10" t="s">
        <v>12</v>
      </c>
    </row>
    <row r="391" spans="1:10" x14ac:dyDescent="0.25">
      <c r="A391" s="2">
        <v>15672330</v>
      </c>
      <c r="B391" s="3" t="s">
        <v>11</v>
      </c>
      <c r="C391" s="4">
        <v>34000</v>
      </c>
      <c r="D391" s="5">
        <v>47</v>
      </c>
      <c r="E391" s="5">
        <v>1</v>
      </c>
      <c r="F391" s="5">
        <f>IF(G391&gt;=Modelo!$B$10,1,0)</f>
        <v>0</v>
      </c>
      <c r="G391" s="6">
        <f>1/(1+EXP(-(Modelo!$B$5+Modelo!$B$6*D391+Modelo!$B$7*C391+Modelo!$B$8*IF(B391="Male",1,0))))</f>
        <v>0.43437784549100789</v>
      </c>
      <c r="H391" s="6">
        <f t="shared" si="12"/>
        <v>0.56562215450899211</v>
      </c>
      <c r="I391" s="5" t="str">
        <f t="shared" si="13"/>
        <v>No</v>
      </c>
      <c r="J391" s="5" t="s">
        <v>12</v>
      </c>
    </row>
    <row r="392" spans="1:10" x14ac:dyDescent="0.25">
      <c r="A392" s="7">
        <v>15668521</v>
      </c>
      <c r="B392" s="8" t="s">
        <v>14</v>
      </c>
      <c r="C392" s="9">
        <v>35000</v>
      </c>
      <c r="D392" s="10">
        <v>48</v>
      </c>
      <c r="E392" s="10">
        <v>1</v>
      </c>
      <c r="F392" s="10">
        <f>IF(G392&gt;=Modelo!$B$10,1,0)</f>
        <v>0</v>
      </c>
      <c r="G392" s="11">
        <f>1/(1+EXP(-(Modelo!$B$5+Modelo!$B$6*D392+Modelo!$B$7*C392+Modelo!$B$8*IF(B392="Male",1,0))))</f>
        <v>0.42866902960375874</v>
      </c>
      <c r="H392" s="11">
        <f t="shared" si="12"/>
        <v>0.57133097039624126</v>
      </c>
      <c r="I392" s="10" t="str">
        <f t="shared" si="13"/>
        <v>No</v>
      </c>
      <c r="J392" s="10" t="s">
        <v>12</v>
      </c>
    </row>
    <row r="393" spans="1:10" x14ac:dyDescent="0.25">
      <c r="A393" s="2">
        <v>15807837</v>
      </c>
      <c r="B393" s="3" t="s">
        <v>11</v>
      </c>
      <c r="C393" s="4">
        <v>33000</v>
      </c>
      <c r="D393" s="5">
        <v>48</v>
      </c>
      <c r="E393" s="5">
        <v>1</v>
      </c>
      <c r="F393" s="5">
        <f>IF(G393&gt;=Modelo!$B$10,1,0)</f>
        <v>0</v>
      </c>
      <c r="G393" s="6">
        <f>1/(1+EXP(-(Modelo!$B$5+Modelo!$B$6*D393+Modelo!$B$7*C393+Modelo!$B$8*IF(B393="Male",1,0))))</f>
        <v>0.48084856169995566</v>
      </c>
      <c r="H393" s="6">
        <f t="shared" si="12"/>
        <v>0.5191514383000444</v>
      </c>
      <c r="I393" s="5" t="str">
        <f t="shared" si="13"/>
        <v>No</v>
      </c>
      <c r="J393" s="5" t="s">
        <v>13</v>
      </c>
    </row>
    <row r="394" spans="1:10" x14ac:dyDescent="0.25">
      <c r="A394" s="7">
        <v>15592570</v>
      </c>
      <c r="B394" s="8" t="s">
        <v>11</v>
      </c>
      <c r="C394" s="9">
        <v>23000</v>
      </c>
      <c r="D394" s="10">
        <v>47</v>
      </c>
      <c r="E394" s="10">
        <v>1</v>
      </c>
      <c r="F394" s="10">
        <f>IF(G394&gt;=Modelo!$B$10,1,0)</f>
        <v>0</v>
      </c>
      <c r="G394" s="11">
        <f>1/(1+EXP(-(Modelo!$B$5+Modelo!$B$6*D394+Modelo!$B$7*C394+Modelo!$B$8*IF(B394="Male",1,0))))</f>
        <v>0.33261739197879614</v>
      </c>
      <c r="H394" s="11">
        <f t="shared" si="12"/>
        <v>0.66738260802120386</v>
      </c>
      <c r="I394" s="10" t="str">
        <f t="shared" si="13"/>
        <v>No</v>
      </c>
      <c r="J394" s="10" t="s">
        <v>12</v>
      </c>
    </row>
    <row r="395" spans="1:10" x14ac:dyDescent="0.25">
      <c r="A395" s="2">
        <v>15748589</v>
      </c>
      <c r="B395" s="3" t="s">
        <v>14</v>
      </c>
      <c r="C395" s="4">
        <v>45000</v>
      </c>
      <c r="D395" s="5">
        <v>45</v>
      </c>
      <c r="E395" s="5">
        <v>1</v>
      </c>
      <c r="F395" s="5">
        <f>IF(G395&gt;=Modelo!$B$10,1,0)</f>
        <v>0</v>
      </c>
      <c r="G395" s="6">
        <f>1/(1+EXP(-(Modelo!$B$5+Modelo!$B$6*D395+Modelo!$B$7*C395+Modelo!$B$8*IF(B395="Male",1,0))))</f>
        <v>0.36025657351987195</v>
      </c>
      <c r="H395" s="6">
        <f t="shared" si="12"/>
        <v>0.63974342648012805</v>
      </c>
      <c r="I395" s="5" t="str">
        <f t="shared" si="13"/>
        <v>No</v>
      </c>
      <c r="J395" s="5" t="s">
        <v>12</v>
      </c>
    </row>
    <row r="396" spans="1:10" x14ac:dyDescent="0.25">
      <c r="A396" s="7">
        <v>15635893</v>
      </c>
      <c r="B396" s="8" t="s">
        <v>11</v>
      </c>
      <c r="C396" s="9">
        <v>42000</v>
      </c>
      <c r="D396" s="10">
        <v>60</v>
      </c>
      <c r="E396" s="10">
        <v>1</v>
      </c>
      <c r="F396" s="10">
        <f>IF(G396&gt;=Modelo!$B$10,1,0)</f>
        <v>1</v>
      </c>
      <c r="G396" s="11">
        <f>1/(1+EXP(-(Modelo!$B$5+Modelo!$B$6*D396+Modelo!$B$7*C396+Modelo!$B$8*IF(B396="Male",1,0))))</f>
        <v>0.95244696682144048</v>
      </c>
      <c r="H396" s="11">
        <f t="shared" si="12"/>
        <v>0.95244696682144048</v>
      </c>
      <c r="I396" s="10" t="str">
        <f t="shared" si="13"/>
        <v>Sí</v>
      </c>
      <c r="J396" s="10" t="s">
        <v>13</v>
      </c>
    </row>
    <row r="397" spans="1:10" x14ac:dyDescent="0.25">
      <c r="A397" s="2">
        <v>15757632</v>
      </c>
      <c r="B397" s="3" t="s">
        <v>14</v>
      </c>
      <c r="C397" s="4">
        <v>59000</v>
      </c>
      <c r="D397" s="5">
        <v>39</v>
      </c>
      <c r="E397" s="5">
        <v>0</v>
      </c>
      <c r="F397" s="5">
        <f>IF(G397&gt;=Modelo!$B$10,1,0)</f>
        <v>0</v>
      </c>
      <c r="G397" s="6">
        <f>1/(1+EXP(-(Modelo!$B$5+Modelo!$B$6*D397+Modelo!$B$7*C397+Modelo!$B$8*IF(B397="Male",1,0))))</f>
        <v>0.20036457605825106</v>
      </c>
      <c r="H397" s="6">
        <f t="shared" si="12"/>
        <v>0.79963542394174891</v>
      </c>
      <c r="I397" s="5" t="str">
        <f t="shared" si="13"/>
        <v>Sí</v>
      </c>
      <c r="J397" s="5" t="s">
        <v>12</v>
      </c>
    </row>
    <row r="398" spans="1:10" x14ac:dyDescent="0.25">
      <c r="A398" s="7">
        <v>15691863</v>
      </c>
      <c r="B398" s="8" t="s">
        <v>14</v>
      </c>
      <c r="C398" s="9">
        <v>41000</v>
      </c>
      <c r="D398" s="10">
        <v>46</v>
      </c>
      <c r="E398" s="10">
        <v>1</v>
      </c>
      <c r="F398" s="10">
        <f>IF(G398&gt;=Modelo!$B$10,1,0)</f>
        <v>0</v>
      </c>
      <c r="G398" s="11">
        <f>1/(1+EXP(-(Modelo!$B$5+Modelo!$B$6*D398+Modelo!$B$7*C398+Modelo!$B$8*IF(B398="Male",1,0))))</f>
        <v>0.3764136495985011</v>
      </c>
      <c r="H398" s="11">
        <f t="shared" si="12"/>
        <v>0.6235863504014989</v>
      </c>
      <c r="I398" s="10" t="str">
        <f t="shared" si="13"/>
        <v>No</v>
      </c>
      <c r="J398" s="10" t="s">
        <v>12</v>
      </c>
    </row>
    <row r="399" spans="1:10" x14ac:dyDescent="0.25">
      <c r="A399" s="2">
        <v>15706071</v>
      </c>
      <c r="B399" s="3" t="s">
        <v>11</v>
      </c>
      <c r="C399" s="4">
        <v>23000</v>
      </c>
      <c r="D399" s="5">
        <v>51</v>
      </c>
      <c r="E399" s="5">
        <v>1</v>
      </c>
      <c r="F399" s="5">
        <f>IF(G399&gt;=Modelo!$B$10,1,0)</f>
        <v>1</v>
      </c>
      <c r="G399" s="6">
        <f>1/(1+EXP(-(Modelo!$B$5+Modelo!$B$6*D399+Modelo!$B$7*C399+Modelo!$B$8*IF(B399="Male",1,0))))</f>
        <v>0.55238800256230747</v>
      </c>
      <c r="H399" s="6">
        <f t="shared" si="12"/>
        <v>0.55238800256230747</v>
      </c>
      <c r="I399" s="5" t="str">
        <f t="shared" si="13"/>
        <v>Sí</v>
      </c>
      <c r="J399" s="5" t="s">
        <v>12</v>
      </c>
    </row>
    <row r="400" spans="1:10" x14ac:dyDescent="0.25">
      <c r="A400" s="7">
        <v>15654296</v>
      </c>
      <c r="B400" s="8" t="s">
        <v>14</v>
      </c>
      <c r="C400" s="9">
        <v>20000</v>
      </c>
      <c r="D400" s="10">
        <v>50</v>
      </c>
      <c r="E400" s="10">
        <v>1</v>
      </c>
      <c r="F400" s="10">
        <f>IF(G400&gt;=Modelo!$B$10,1,0)</f>
        <v>0</v>
      </c>
      <c r="G400" s="11">
        <f>1/(1+EXP(-(Modelo!$B$5+Modelo!$B$6*D400+Modelo!$B$7*C400+Modelo!$B$8*IF(B400="Male",1,0))))</f>
        <v>0.39567549470286989</v>
      </c>
      <c r="H400" s="11">
        <f t="shared" si="12"/>
        <v>0.60432450529713011</v>
      </c>
      <c r="I400" s="10" t="str">
        <f t="shared" si="13"/>
        <v>No</v>
      </c>
      <c r="J400" s="10" t="s">
        <v>12</v>
      </c>
    </row>
    <row r="401" spans="1:10" x14ac:dyDescent="0.25">
      <c r="A401" s="2">
        <v>15755018</v>
      </c>
      <c r="B401" s="3" t="s">
        <v>11</v>
      </c>
      <c r="C401" s="4">
        <v>33000</v>
      </c>
      <c r="D401" s="5">
        <v>36</v>
      </c>
      <c r="E401" s="5">
        <v>0</v>
      </c>
      <c r="F401" s="5">
        <f>IF(G401&gt;=Modelo!$B$10,1,0)</f>
        <v>0</v>
      </c>
      <c r="G401" s="6">
        <f>1/(1+EXP(-(Modelo!$B$5+Modelo!$B$6*D401+Modelo!$B$7*C401+Modelo!$B$8*IF(B401="Male",1,0))))</f>
        <v>5.7501300865712271E-2</v>
      </c>
      <c r="H401" s="6">
        <f t="shared" si="12"/>
        <v>0.94249869913428774</v>
      </c>
      <c r="I401" s="5" t="str">
        <f t="shared" si="13"/>
        <v>Sí</v>
      </c>
      <c r="J401" s="5" t="s">
        <v>13</v>
      </c>
    </row>
    <row r="402" spans="1:10" x14ac:dyDescent="0.25">
      <c r="A402" s="7">
        <v>15594041</v>
      </c>
      <c r="B402" s="8" t="s">
        <v>14</v>
      </c>
      <c r="C402" s="9">
        <v>36000</v>
      </c>
      <c r="D402" s="10">
        <v>49</v>
      </c>
      <c r="E402" s="10">
        <v>1</v>
      </c>
      <c r="F402" s="10">
        <f>IF(G402&gt;=Modelo!$B$10,1,0)</f>
        <v>0</v>
      </c>
      <c r="G402" s="11">
        <f>1/(1+EXP(-(Modelo!$B$5+Modelo!$B$6*D402+Modelo!$B$7*C402+Modelo!$B$8*IF(B402="Male",1,0))))</f>
        <v>0.49467406963291721</v>
      </c>
      <c r="H402" s="11">
        <f t="shared" si="12"/>
        <v>0.50532593036708273</v>
      </c>
      <c r="I402" s="10" t="str">
        <f t="shared" si="13"/>
        <v>No</v>
      </c>
      <c r="J402" s="10" t="s">
        <v>13</v>
      </c>
    </row>
  </sheetData>
  <autoFilter ref="A2:J402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9.140625" defaultRowHeight="15" x14ac:dyDescent="0.25"/>
  <cols>
    <col min="1" max="1" width="30" customWidth="1"/>
    <col min="2" max="2" width="18" customWidth="1"/>
    <col min="3" max="3" width="62" customWidth="1"/>
  </cols>
  <sheetData>
    <row r="1" spans="1:3" ht="24" customHeight="1" x14ac:dyDescent="0.25">
      <c r="A1" s="19" t="s">
        <v>15</v>
      </c>
      <c r="B1" s="20"/>
      <c r="C1" s="20"/>
    </row>
    <row r="3" spans="1:3" x14ac:dyDescent="0.25">
      <c r="A3" s="12" t="s">
        <v>16</v>
      </c>
    </row>
    <row r="4" spans="1:3" x14ac:dyDescent="0.25">
      <c r="A4" s="1" t="s">
        <v>17</v>
      </c>
      <c r="B4" s="1" t="s">
        <v>18</v>
      </c>
      <c r="C4" s="1" t="s">
        <v>19</v>
      </c>
    </row>
    <row r="5" spans="1:3" x14ac:dyDescent="0.25">
      <c r="A5" s="3" t="s">
        <v>20</v>
      </c>
      <c r="B5" s="13">
        <v>-12.543306572919279</v>
      </c>
      <c r="C5" s="3" t="s">
        <v>21</v>
      </c>
    </row>
    <row r="6" spans="1:3" x14ac:dyDescent="0.25">
      <c r="A6" s="3" t="s">
        <v>22</v>
      </c>
      <c r="B6" s="13">
        <v>0.22667364321249481</v>
      </c>
      <c r="C6" s="3" t="str">
        <f>CONCATENATE("Por cada año más: OR = ",TEXT(EXP(B6),"0.000"))</f>
        <v>Por cada año más: OR = 0.001</v>
      </c>
    </row>
    <row r="7" spans="1:3" x14ac:dyDescent="0.25">
      <c r="A7" s="3" t="s">
        <v>23</v>
      </c>
      <c r="B7" s="13">
        <v>3.9305375785053483E-5</v>
      </c>
      <c r="C7" s="3" t="str">
        <f>CONCATENATE("Por cada $10,000 más: OR = ",TEXT(EXP(B7*10000),"0.000"))</f>
        <v>Por cada $10,000 más: OR = 0.001</v>
      </c>
    </row>
    <row r="8" spans="1:3" x14ac:dyDescent="0.25">
      <c r="A8" s="3" t="s">
        <v>24</v>
      </c>
      <c r="B8" s="13">
        <v>0.28925104856926931</v>
      </c>
      <c r="C8" s="3" t="str">
        <f>CONCATENATE("Hombre vs mujer: OR = ",TEXT(EXP(B8),"0.000"))</f>
        <v>Hombre vs mujer: OR = 0.001</v>
      </c>
    </row>
    <row r="10" spans="1:3" x14ac:dyDescent="0.25">
      <c r="A10" s="14" t="s">
        <v>25</v>
      </c>
      <c r="B10" s="15">
        <v>0.5</v>
      </c>
      <c r="C10" s="3" t="s">
        <v>26</v>
      </c>
    </row>
    <row r="12" spans="1:3" x14ac:dyDescent="0.25">
      <c r="A12" s="12" t="s">
        <v>27</v>
      </c>
    </row>
    <row r="13" spans="1:3" x14ac:dyDescent="0.25">
      <c r="A13" s="16" t="s">
        <v>28</v>
      </c>
    </row>
    <row r="14" spans="1:3" x14ac:dyDescent="0.25">
      <c r="A14" s="16" t="s">
        <v>29</v>
      </c>
    </row>
    <row r="16" spans="1:3" x14ac:dyDescent="0.25">
      <c r="A16" s="12" t="s">
        <v>30</v>
      </c>
    </row>
    <row r="17" spans="1:3" x14ac:dyDescent="0.25">
      <c r="A17" s="1" t="s">
        <v>31</v>
      </c>
      <c r="B17" s="1" t="s">
        <v>18</v>
      </c>
      <c r="C17" s="1" t="s">
        <v>32</v>
      </c>
    </row>
    <row r="18" spans="1:3" x14ac:dyDescent="0.25">
      <c r="A18" s="3" t="s">
        <v>33</v>
      </c>
      <c r="B18" s="2">
        <f>COUNTA(Predicciones!$A$3:$A$402)</f>
        <v>400</v>
      </c>
      <c r="C18" s="3" t="s">
        <v>34</v>
      </c>
    </row>
    <row r="19" spans="1:3" x14ac:dyDescent="0.25">
      <c r="A19" s="3" t="s">
        <v>35</v>
      </c>
      <c r="B19" s="2">
        <f>COUNTIF(Predicciones!$I$3:$I$402,"Sí")</f>
        <v>339</v>
      </c>
      <c r="C19" s="3" t="s">
        <v>36</v>
      </c>
    </row>
    <row r="20" spans="1:3" x14ac:dyDescent="0.25">
      <c r="A20" s="3" t="s">
        <v>37</v>
      </c>
      <c r="B20" s="17">
        <f>B19/B18</f>
        <v>0.84750000000000003</v>
      </c>
      <c r="C20" s="3" t="s">
        <v>38</v>
      </c>
    </row>
    <row r="21" spans="1:3" x14ac:dyDescent="0.25">
      <c r="A21" s="3" t="s">
        <v>39</v>
      </c>
      <c r="B21" s="2">
        <f>COUNTIF(Predicciones!$J$3:$J$402,"Entrenamiento")</f>
        <v>320</v>
      </c>
      <c r="C21" s="3" t="s">
        <v>40</v>
      </c>
    </row>
    <row r="22" spans="1:3" x14ac:dyDescent="0.25">
      <c r="A22" s="3" t="s">
        <v>41</v>
      </c>
      <c r="B22" s="2">
        <f>COUNTIF(Predicciones!$J$3:$J$402,"Prueba")</f>
        <v>80</v>
      </c>
      <c r="C22" s="3" t="s">
        <v>42</v>
      </c>
    </row>
    <row r="23" spans="1:3" x14ac:dyDescent="0.25">
      <c r="A23" s="3" t="s">
        <v>43</v>
      </c>
      <c r="B23" s="17">
        <f>COUNTIFS(Predicciones!$J$3:$J$402,"Prueba",Predicciones!$I$3:$I$402,"Sí")/B22</f>
        <v>0.8125</v>
      </c>
      <c r="C23" s="3" t="s">
        <v>44</v>
      </c>
    </row>
    <row r="25" spans="1:3" x14ac:dyDescent="0.25">
      <c r="A25" s="12" t="s">
        <v>45</v>
      </c>
    </row>
    <row r="26" spans="1:3" x14ac:dyDescent="0.25">
      <c r="A26" s="1" t="s">
        <v>46</v>
      </c>
      <c r="B26" s="1" t="s">
        <v>47</v>
      </c>
      <c r="C26" s="1" t="s">
        <v>48</v>
      </c>
    </row>
    <row r="27" spans="1:3" x14ac:dyDescent="0.25">
      <c r="A27" s="3" t="s">
        <v>49</v>
      </c>
      <c r="B27" s="2">
        <f>COUNTIFS(Predicciones!$J$3:$J$402,"Prueba",Predicciones!$E$3:$E$402,0,Predicciones!$F$3:$F$402,0)</f>
        <v>47</v>
      </c>
      <c r="C27" s="3" t="s">
        <v>50</v>
      </c>
    </row>
    <row r="28" spans="1:3" x14ac:dyDescent="0.25">
      <c r="A28" s="3" t="s">
        <v>51</v>
      </c>
      <c r="B28" s="2">
        <f>COUNTIFS(Predicciones!$J$3:$J$402,"Prueba",Predicciones!$E$3:$E$402,0,Predicciones!$F$3:$F$402,1)</f>
        <v>4</v>
      </c>
      <c r="C28" s="3" t="s">
        <v>52</v>
      </c>
    </row>
    <row r="29" spans="1:3" x14ac:dyDescent="0.25">
      <c r="A29" s="3" t="s">
        <v>53</v>
      </c>
      <c r="B29" s="2">
        <f>COUNTIFS(Predicciones!$J$3:$J$402,"Prueba",Predicciones!$E$3:$E$402,1,Predicciones!$F$3:$F$402,0)</f>
        <v>11</v>
      </c>
      <c r="C29" s="3" t="s">
        <v>54</v>
      </c>
    </row>
    <row r="30" spans="1:3" x14ac:dyDescent="0.25">
      <c r="A30" s="3" t="s">
        <v>55</v>
      </c>
      <c r="B30" s="2">
        <f>COUNTIFS(Predicciones!$J$3:$J$402,"Prueba",Predicciones!$E$3:$E$402,1,Predicciones!$F$3:$F$402,1)</f>
        <v>18</v>
      </c>
      <c r="C30" s="3" t="s">
        <v>56</v>
      </c>
    </row>
    <row r="32" spans="1:3" x14ac:dyDescent="0.25">
      <c r="A32" s="18"/>
    </row>
    <row r="33" spans="1:1" x14ac:dyDescent="0.25">
      <c r="A33" s="12" t="s">
        <v>57</v>
      </c>
    </row>
    <row r="34" spans="1:1" x14ac:dyDescent="0.25">
      <c r="A34" s="18" t="s">
        <v>58</v>
      </c>
    </row>
    <row r="35" spans="1:1" x14ac:dyDescent="0.25">
      <c r="A35" s="18" t="s">
        <v>59</v>
      </c>
    </row>
    <row r="36" spans="1:1" x14ac:dyDescent="0.25">
      <c r="A36" s="18" t="s">
        <v>60</v>
      </c>
    </row>
    <row r="37" spans="1:1" x14ac:dyDescent="0.25">
      <c r="A37" s="18" t="s">
        <v>61</v>
      </c>
    </row>
    <row r="38" spans="1:1" x14ac:dyDescent="0.25">
      <c r="A38" s="18" t="s">
        <v>62</v>
      </c>
    </row>
    <row r="39" spans="1:1" x14ac:dyDescent="0.25">
      <c r="A39" s="18" t="s">
        <v>63</v>
      </c>
    </row>
    <row r="40" spans="1:1" x14ac:dyDescent="0.25">
      <c r="A40" s="18" t="s">
        <v>64</v>
      </c>
    </row>
    <row r="41" spans="1:1" x14ac:dyDescent="0.25">
      <c r="A41" s="18" t="s">
        <v>65</v>
      </c>
    </row>
    <row r="42" spans="1:1" x14ac:dyDescent="0.25">
      <c r="A42" s="18" t="s">
        <v>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Pallares Kelin</cp:lastModifiedBy>
  <dcterms:created xsi:type="dcterms:W3CDTF">2026-09-22T21:29:57Z</dcterms:created>
  <dcterms:modified xsi:type="dcterms:W3CDTF">2026-09-22T21:30:42Z</dcterms:modified>
</cp:coreProperties>
</file>